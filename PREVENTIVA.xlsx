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 DE CONTROLE" sheetId="1" r:id="rId5"/>
    <sheet state="visible" name="VTIS" sheetId="2" r:id="rId6"/>
    <sheet state="visible" name="HOMOGEINIZADOR" sheetId="3" r:id="rId7"/>
    <sheet state="visible" name="A3FLEX 01" sheetId="4" r:id="rId8"/>
    <sheet state="visible" name="HELIX 01" sheetId="5" r:id="rId9"/>
    <sheet state="visible" name="CAPPER 01" sheetId="6" r:id="rId10"/>
    <sheet state="visible" name="CARD-32 01" sheetId="7" r:id="rId11"/>
    <sheet state="visible" name="A3FLEX 02" sheetId="8" r:id="rId12"/>
    <sheet state="visible" name="HELIX 02" sheetId="9" r:id="rId13"/>
    <sheet state="visible" name="CAPPER 02" sheetId="10" r:id="rId14"/>
    <sheet state="visible" name="CARD-32 02" sheetId="11" r:id="rId15"/>
  </sheets>
  <definedNames>
    <definedName hidden="1" localSheetId="1" name="_xlnm._FilterDatabase">VTIS!$A$151:$K$151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1">
      <text>
        <t xml:space="preserve">Wanderson Rian Rodrigues Santos:
SC 049998
23/10/2021</t>
      </text>
    </comment>
    <comment authorId="0" ref="L91">
      <text>
        <t xml:space="preserve">Wanderson Rian Rodrigues Santos:
SC 049998
23/10/2021</t>
      </text>
    </comment>
    <comment authorId="0" ref="C115">
      <text>
        <t xml:space="preserve">Yan Rodrigues Albino Barroso:
AVALIAR SEMPRE ANTES DE TROCAR</t>
      </text>
    </comment>
    <comment authorId="0" ref="I115">
      <text>
        <t xml:space="preserve">Yan Rodrigues Albino Barroso:
AVALIAR SEMPRE ANTES DE TROCAR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5">
      <text>
        <t xml:space="preserve">Wanderson Rian Rodrigues Santos:
retorno de linha asseptica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">
      <text>
        <t xml:space="preserve">Wanderson Rian Rodrigues Santos:
PEDIDO: 197155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Wanderson Rian Rodrigues Santos:
PROGRAMAÇÃO 29
FALTA LISTAR PEÇAS PREVISTAS</t>
      </text>
    </comment>
    <comment authorId="0" ref="D4">
      <text>
        <t xml:space="preserve">Wanderson Rian Rodrigues Santos:
PROGRAMAÇÃO 28
FALTA LISTAR PEÇAS PREVISTAS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Wanderson Rian Rodrigues Santos:
2714040-0000</t>
      </text>
    </comment>
    <comment authorId="0" ref="A5">
      <text>
        <t xml:space="preserve">Wanderson Rian Rodrigues Santos:
ATUALIZAR A PROG: 30, UNIDADE DE FREIO DE ENTRADA 
E INCLUIR PEÇAS PREVISTAS</t>
      </text>
    </comment>
    <comment authorId="0" ref="C7">
      <text>
        <t xml:space="preserve">Wanderson Rian Rodrigues Santos:
CODIGOS SUBSTITUIDOS
5921700-0304;
5945501-9099;
3008843-0000;
1550348-0001;
90603-2325;
90458-2172</t>
      </text>
    </comment>
    <comment authorId="0" ref="C12">
      <text>
        <t xml:space="preserve">Wanderson Rian Rodrigues Santos:
CODIGOS SUBSTITUIDOS
1359776-0000</t>
      </text>
    </comment>
    <comment authorId="0" ref="C13">
      <text>
        <t xml:space="preserve">Wanderson Rian Rodrigues Santos:
VERIFICAR QUANTIDADE NECESSÁRIA PARA PREVENTIVA</t>
      </text>
    </comment>
    <comment authorId="0" ref="C20">
      <text>
        <t xml:space="preserve">Wanderson Rian Rodrigues Santos:
VERIFICAR PERIODICIDADE DE PREVENTIVA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Yan Rodrigues Albino Barroso:
Avaliar sempre que estiver chegando a hora de trocar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Wanderson Rian Rodrigues Santos:
PROGRAMAÇÃO 29
FALTA LISTAR PEÇAS PREVISTAS</t>
      </text>
    </comment>
    <comment authorId="0" ref="D4">
      <text>
        <t xml:space="preserve">Wanderson Rian Rodrigues Santos:
PROGRAMAÇÃO 28
FALTA LISTAR PEÇAS PREVISTAS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Wanderson Rian Rodrigues Santos:
2714040-0000</t>
      </text>
    </comment>
    <comment authorId="0" ref="A5">
      <text>
        <t xml:space="preserve">Wanderson Rian Rodrigues Santos:
ATUALIZAR A PROG: 30, UNIDADE DE FREIO DE ENTRADA 
E INCLUIR PEÇAS PREVISTAS</t>
      </text>
    </comment>
    <comment authorId="0" ref="C7">
      <text>
        <t xml:space="preserve">Wanderson Rian Rodrigues Santos:
CODIGOS SUBSTITUIDOS
5921700-0304;
5945501-9099;
3008843-0000;
1550348-0001;
90603-2325;
90458-2172</t>
      </text>
    </comment>
    <comment authorId="0" ref="C12">
      <text>
        <t xml:space="preserve">Wanderson Rian Rodrigues Santos:
CODIGOS SUBSTITUIDOS
1359776-0000</t>
      </text>
    </comment>
    <comment authorId="0" ref="C13">
      <text>
        <t xml:space="preserve">Wanderson Rian Rodrigues Santos:
VERIFICAR QUANTIDADE NECESSÁRIA PARA PREVENTIVA</t>
      </text>
    </comment>
    <comment authorId="0" ref="C20">
      <text>
        <t xml:space="preserve">Wanderson Rian Rodrigues Santos:
VERIFICAR PERIODICIDADE DE PREVENTIVA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Yan Rodrigues Albino Barroso:
Avaliar sempre que estiver chegando a hora de trocar</t>
      </text>
    </comment>
  </commentList>
</comments>
</file>

<file path=xl/sharedStrings.xml><?xml version="1.0" encoding="utf-8"?>
<sst xmlns="http://schemas.openxmlformats.org/spreadsheetml/2006/main" count="2791" uniqueCount="1139">
  <si>
    <t>PAINEL DE CONTROLE UHT</t>
  </si>
  <si>
    <t>PROCESSO</t>
  </si>
  <si>
    <t>LINHA A3F-01</t>
  </si>
  <si>
    <t>LINHA A3F-02</t>
  </si>
  <si>
    <t>LINHA TBA8</t>
  </si>
  <si>
    <t>VTIS-01</t>
  </si>
  <si>
    <t>A3 FLEX</t>
  </si>
  <si>
    <t>TBA8</t>
  </si>
  <si>
    <t>ALEX 30</t>
  </si>
  <si>
    <t>ACHX 30</t>
  </si>
  <si>
    <t>ACHX 22</t>
  </si>
  <si>
    <t>CAP 25</t>
  </si>
  <si>
    <t>CBP 70</t>
  </si>
  <si>
    <t>CBP 32</t>
  </si>
  <si>
    <t>TTS 51</t>
  </si>
  <si>
    <t>VTIS</t>
  </si>
  <si>
    <t>VTIS - PROCESSO</t>
  </si>
  <si>
    <t>HOMOGEINIZADOR ALEX 30</t>
  </si>
  <si>
    <t>MANUTENÇÃO</t>
  </si>
  <si>
    <t>FREQ HR</t>
  </si>
  <si>
    <t>HORAS</t>
  </si>
  <si>
    <t>STATUS</t>
  </si>
  <si>
    <t xml:space="preserve">ANEIS SMS </t>
  </si>
  <si>
    <t>TROCA DAS GAXETAS</t>
  </si>
  <si>
    <t>CAMARA ASSEPTICA</t>
  </si>
  <si>
    <t>LUBRIFICAÇÃO DO CARTER; REDUTOR E UNIDADE HID.</t>
  </si>
  <si>
    <t>INJETOR DE VAPOR  SI53</t>
  </si>
  <si>
    <t>MOTOR M6</t>
  </si>
  <si>
    <t>M2</t>
  </si>
  <si>
    <t xml:space="preserve">PISTOES E BUCHAS DE BRONZE </t>
  </si>
  <si>
    <t>M5</t>
  </si>
  <si>
    <t>BLOCO DE ADIMISSAO</t>
  </si>
  <si>
    <t>M8</t>
  </si>
  <si>
    <t>TRAÇÃO DO HOMO</t>
  </si>
  <si>
    <t>M9</t>
  </si>
  <si>
    <t>M11</t>
  </si>
  <si>
    <t>ENVASE UHT</t>
  </si>
  <si>
    <t>TPA3/FLEX 01 (21218/00372)</t>
  </si>
  <si>
    <t>TPA3/FLEX 02 (21218/00372)</t>
  </si>
  <si>
    <t>BOMBA DE PEROXIDO</t>
  </si>
  <si>
    <t>ROLAMENTOS DE ROLOS</t>
  </si>
  <si>
    <t>TRANSPORTADOR ALIMENTAÇÃO</t>
  </si>
  <si>
    <t>CALHA DE DESCARTE</t>
  </si>
  <si>
    <t xml:space="preserve"> PULDOW DEVICE</t>
  </si>
  <si>
    <t>DESCARREGADOR FFU</t>
  </si>
  <si>
    <t xml:space="preserve">ANÉIS DE FORMAÇÃO </t>
  </si>
  <si>
    <t xml:space="preserve">SIS. MANDIBULAS - UNID. DE FORMAÇÃO  </t>
  </si>
  <si>
    <t>BANHEIRA DE PERÓXIDO</t>
  </si>
  <si>
    <t>PISTÃO DE ACIONAMENTO DA FACA</t>
  </si>
  <si>
    <t>REPARO DOS GANCHOS DE PRESSÃO</t>
  </si>
  <si>
    <t>APLICADOR DE FITA</t>
  </si>
  <si>
    <t>SISTEMA DE MANDIBULA</t>
  </si>
  <si>
    <t>BENDING ROLLER E GUIA</t>
  </si>
  <si>
    <t>CONTRA ROLO</t>
  </si>
  <si>
    <t>ROLO PENDULAR</t>
  </si>
  <si>
    <t>VALVULA REGULADORA</t>
  </si>
  <si>
    <t>PRESSURE DEVICE</t>
  </si>
  <si>
    <t>RODA (HUB)</t>
  </si>
  <si>
    <t>FLAP (CAIXA)</t>
  </si>
  <si>
    <t>FLAP (ACIONAMENTO)</t>
  </si>
  <si>
    <t>DRIVE</t>
  </si>
  <si>
    <t>PISTÃO FACA</t>
  </si>
  <si>
    <t>VALVULA ''A''
VALVULA "B"
VALVULA "C"</t>
  </si>
  <si>
    <t>DINC</t>
  </si>
  <si>
    <t>SISTEMA DE MANDIBULA - SISTEMA DE PESO</t>
  </si>
  <si>
    <t>MESA DE PREPARAÇÃO</t>
  </si>
  <si>
    <t>SISTEMA DE CORREÇÃO - MANDÍBULAS</t>
  </si>
  <si>
    <t>DE'S - HELIX 30</t>
  </si>
  <si>
    <t>HELIX 30 01 (75766/00312)</t>
  </si>
  <si>
    <t>HELIX 30 02 (75766/00312)</t>
  </si>
  <si>
    <t>ARANHA E RODA</t>
  </si>
  <si>
    <t>DE'S - CAPPER 25</t>
  </si>
  <si>
    <t>CAPPER 25 01 (75777/00120)</t>
  </si>
  <si>
    <t>CAPPER 25 02 (75777/00120)</t>
  </si>
  <si>
    <t>UNIDADE DE FREIO DE ENTRADA</t>
  </si>
  <si>
    <t>UNIDADE DAS CORREIAS LATERAL</t>
  </si>
  <si>
    <t>UNIDADE APLICADORA DE TAMPA</t>
  </si>
  <si>
    <t>UNID. APLICADORA DE TAMPA</t>
  </si>
  <si>
    <t>DE'S - CARD BOARD</t>
  </si>
  <si>
    <t>CARDBOARD 32 01 (75783/00348)</t>
  </si>
  <si>
    <t>CARDBOARD 32 02 (75783/00348)</t>
  </si>
  <si>
    <t>FREIO DE ENTRADA</t>
  </si>
  <si>
    <t>EMPURRADOR DE AGRUPAMENTO</t>
  </si>
  <si>
    <t xml:space="preserve">PLACA GUIA DE TRANSFERENCIA </t>
  </si>
  <si>
    <t>CORPO DE TRANSFERENCIA</t>
  </si>
  <si>
    <t>BRAÇO DE PARADA</t>
  </si>
  <si>
    <t>PLACA DE AGRUPAMENTO</t>
  </si>
  <si>
    <t>CADEIA DE ESTAÇÃO</t>
  </si>
  <si>
    <t>PRENSA DE FUNDO</t>
  </si>
  <si>
    <t xml:space="preserve">SUPORTE DA BANDEJA </t>
  </si>
  <si>
    <t xml:space="preserve">PARADA FINAL DA EMBALAGEM </t>
  </si>
  <si>
    <t>ESTAÇÃO DE DOBRAGEM</t>
  </si>
  <si>
    <t>VENTOSA</t>
  </si>
  <si>
    <t>UNIDADE DE APOIO</t>
  </si>
  <si>
    <t>SIST. DE LUBRI. DA FORMACAO</t>
  </si>
  <si>
    <t>UNIDADE DE TRANSFERÊNCIA</t>
  </si>
  <si>
    <t>SISTEMA</t>
  </si>
  <si>
    <t>PROG</t>
  </si>
  <si>
    <t>COD PROTHEUS</t>
  </si>
  <si>
    <t>COD TETRA</t>
  </si>
  <si>
    <t>DESCRIÇÃO</t>
  </si>
  <si>
    <t>QT</t>
  </si>
  <si>
    <t>FREQ. TROCA</t>
  </si>
  <si>
    <t>HOR.
ATUAL</t>
  </si>
  <si>
    <t>ULT. TROCA</t>
  </si>
  <si>
    <t xml:space="preserve">PREVISÃO </t>
  </si>
  <si>
    <t>HORAS P/ MANT.</t>
  </si>
  <si>
    <t>DATA DE MANUTENÇÃO</t>
  </si>
  <si>
    <t>OBSERVAÇÃO</t>
  </si>
  <si>
    <t>MANUTENTOR</t>
  </si>
  <si>
    <t>FILTRO CULINÁRIO</t>
  </si>
  <si>
    <t>06190002115</t>
  </si>
  <si>
    <t>ANEL DE VEDAÇÃO</t>
  </si>
  <si>
    <t>X</t>
  </si>
  <si>
    <t>ANEIS SMS</t>
  </si>
  <si>
    <t>06000001558</t>
  </si>
  <si>
    <t>6-3131703753</t>
  </si>
  <si>
    <t>ANEL DE VEDACAO SMS 1"</t>
  </si>
  <si>
    <t>06000001559</t>
  </si>
  <si>
    <t>6-3131703772</t>
  </si>
  <si>
    <t xml:space="preserve">ANEL DE VEDACAO SMS 1.1/2" </t>
  </si>
  <si>
    <t>06000001560</t>
  </si>
  <si>
    <t>6-3131703785</t>
  </si>
  <si>
    <t>ANEL DE VEDACAO SMS 2"</t>
  </si>
  <si>
    <t>06000001561</t>
  </si>
  <si>
    <t>6-3131703793</t>
  </si>
  <si>
    <t xml:space="preserve">ANEL DE VEDACAO SMS 2.1/2" </t>
  </si>
  <si>
    <t>06000001562</t>
  </si>
  <si>
    <t>6-3131703803</t>
  </si>
  <si>
    <t>ANEL DE VEDACAO SMS 3"</t>
  </si>
  <si>
    <t>CAMARA DE VÁCUO</t>
  </si>
  <si>
    <t>06000003208</t>
  </si>
  <si>
    <t>90510-5540</t>
  </si>
  <si>
    <t>ANEL DE BORRACHA</t>
  </si>
  <si>
    <t>4</t>
  </si>
  <si>
    <t>06000001566</t>
  </si>
  <si>
    <t>6-3180124811</t>
  </si>
  <si>
    <t>1</t>
  </si>
  <si>
    <t>6-26019070</t>
  </si>
  <si>
    <t>ORING</t>
  </si>
  <si>
    <t>6</t>
  </si>
  <si>
    <t>6-26019068</t>
  </si>
  <si>
    <t>06000017858</t>
  </si>
  <si>
    <t>90522-3724</t>
  </si>
  <si>
    <t>06000017859</t>
  </si>
  <si>
    <t>90522-3727</t>
  </si>
  <si>
    <t>06000017860</t>
  </si>
  <si>
    <t>90522-3728</t>
  </si>
  <si>
    <t>M2 BOMBA DE ALIMENTAÇÃO PARA ENVIO DE PRODUTO PARA O TROCADOR DE CALOR A PLACAS</t>
  </si>
  <si>
    <t>6-9611922111</t>
  </si>
  <si>
    <t>REPARO DE VEDACAO BORRACHA</t>
  </si>
  <si>
    <t>06320000109</t>
  </si>
  <si>
    <t>ROLAMENTO 6309 ZZ C3</t>
  </si>
  <si>
    <t>06320000083</t>
  </si>
  <si>
    <t>ROLAMENTO 6209 ZZ C3</t>
  </si>
  <si>
    <t>M5 BOMBA CENTRÍFUGA DE ALIMENTAÇÃO DE PRODUTO</t>
  </si>
  <si>
    <t>814</t>
  </si>
  <si>
    <t>06000001931</t>
  </si>
  <si>
    <t>6-9611922226</t>
  </si>
  <si>
    <t>SERVI KIT</t>
  </si>
  <si>
    <t>815</t>
  </si>
  <si>
    <t>M8 BOMBA CENTRÍFUGA DO SISTEMA DE REFRIGERAÇÃO DO CONDENSADOR</t>
  </si>
  <si>
    <t>816</t>
  </si>
  <si>
    <t>06000002088</t>
  </si>
  <si>
    <t>6-9611922122</t>
  </si>
  <si>
    <t>SELO DE VEDAÇÃO</t>
  </si>
  <si>
    <t>817</t>
  </si>
  <si>
    <t>06320000102</t>
  </si>
  <si>
    <t>ROLAMENTO 6308 ZZ C3</t>
  </si>
  <si>
    <t>06320000073</t>
  </si>
  <si>
    <t>ROLAMENTO 6206 ZZ C3</t>
  </si>
  <si>
    <t>M9 BOMBA CENTRÍFUGA DO CIRCUITO DE ÁGUA</t>
  </si>
  <si>
    <t>818</t>
  </si>
  <si>
    <t>06000007032</t>
  </si>
  <si>
    <t>90503-2293</t>
  </si>
  <si>
    <t>SELO MECÂNICO</t>
  </si>
  <si>
    <t>06000011305</t>
  </si>
  <si>
    <t>90503-2919</t>
  </si>
  <si>
    <t>CONJUNTO DE VEDAÇÃO</t>
  </si>
  <si>
    <t>06000008125</t>
  </si>
  <si>
    <t>90503-1053</t>
  </si>
  <si>
    <t>GAXETA DE VEDAÇÃO DE BORRACHA</t>
  </si>
  <si>
    <t>819</t>
  </si>
  <si>
    <t>06320001277</t>
  </si>
  <si>
    <t xml:space="preserve"> ROLAMENTO 7308 BE</t>
  </si>
  <si>
    <t>M11 BOMBA DE VÁCUO</t>
  </si>
  <si>
    <t>06000008847</t>
  </si>
  <si>
    <t>90516-5521</t>
  </si>
  <si>
    <t>CONJUNTO DE PECAS SOBRESSALENTES</t>
  </si>
  <si>
    <t>06320000080</t>
  </si>
  <si>
    <t>ROLAMENTO 6208 ZZ C3</t>
  </si>
  <si>
    <t>M12 UNIDADE DE ALIMENTAÇÃO DE CIP (SODA) (90510-2119)</t>
  </si>
  <si>
    <t>820</t>
  </si>
  <si>
    <t>06000012581</t>
  </si>
  <si>
    <t>90510-2299</t>
  </si>
  <si>
    <t>SPARE PART KIT</t>
  </si>
  <si>
    <t>M13 UNIDADE DE ALIMENTAÇÃO DE CIP (ÁCIDO)
(90510-2119)</t>
  </si>
  <si>
    <t>821</t>
  </si>
  <si>
    <t>V04 VÁLVULA ESFERA DE ÁGUA DO SISTEMA DE REFRIGERAÇÃO DO CONDENSADOR</t>
  </si>
  <si>
    <t>822</t>
  </si>
  <si>
    <t>6-3180121904</t>
  </si>
  <si>
    <t>823</t>
  </si>
  <si>
    <t>6-9611923010</t>
  </si>
  <si>
    <t>V05 VÁLVULA DE CIP DO TANQUE DE EQUILÍBRIO</t>
  </si>
  <si>
    <t>824</t>
  </si>
  <si>
    <t>6-9611920008</t>
  </si>
  <si>
    <t>825</t>
  </si>
  <si>
    <t>6-9611920010</t>
  </si>
  <si>
    <t>V08 VÁLVULA DE CONTROLE DE ENTRADA DE PRODUTO PARA O TANQUE DE EQUILIBRIO</t>
  </si>
  <si>
    <t>826</t>
  </si>
  <si>
    <t>6-99041858</t>
  </si>
  <si>
    <t>827</t>
  </si>
  <si>
    <t>6-99042535</t>
  </si>
  <si>
    <t>V09 VÁLVULA ESFERA DE VAPOR PARA O DRENO DO CIRCUITO DE ÁGUA QUENTE</t>
  </si>
  <si>
    <t>828</t>
  </si>
  <si>
    <t>6-3180121903</t>
  </si>
  <si>
    <t>V13.1 VÁLVULA DE ENTRADA DE PRODUTO PARA O TANQUE DE EQUILIBRIO</t>
  </si>
  <si>
    <t>829</t>
  </si>
  <si>
    <t>6-9611923030</t>
  </si>
  <si>
    <t>V13.2 VÁLVULAS DE ENTRADA DE ÁGUA PARA O TANQUE DE EQUILIBRIO</t>
  </si>
  <si>
    <t>830</t>
  </si>
  <si>
    <t>V14 VÁLVULA DE DESVIO DE ÁGUA PARA O BTD/DRENO</t>
  </si>
  <si>
    <t>831</t>
  </si>
  <si>
    <t>832</t>
  </si>
  <si>
    <t>6-9611920028</t>
  </si>
  <si>
    <t>V15 VÁLVULA DE DESVIO DE PRODUTO/CIP PARA O DRENO DO BTD/TANQUE DE REJEITO</t>
  </si>
  <si>
    <t>833</t>
  </si>
  <si>
    <t>834</t>
  </si>
  <si>
    <t>6-9611920111</t>
  </si>
  <si>
    <t>V23 VÁLVULA ESFERA DE VAPOR PARA O SISTEMA DE INJEÇÃO DE VAPOR</t>
  </si>
  <si>
    <t>835</t>
  </si>
  <si>
    <t>836</t>
  </si>
  <si>
    <t>V24 VÁLVULA DE FLUXO CONSTANTE DE ÁGUA DO SISTEMA DE VÁCUO</t>
  </si>
  <si>
    <t>6-3180110543</t>
  </si>
  <si>
    <t>V29 VÁLVULA DE ESFERA DE ÁGUA DO SISTEMA DE VÁCUO</t>
  </si>
  <si>
    <t>837</t>
  </si>
  <si>
    <t>838</t>
  </si>
  <si>
    <t>V30 VÁLVULA DE ENTRADA DE PRODUTO NA CÂMARA DE VÁCUO DO SISTEMA DE ALIMENTAÇÃO DE PRODUTO</t>
  </si>
  <si>
    <t>6-9611920001</t>
  </si>
  <si>
    <t>V33 VÁLVULA DE DESVIO DE ÁGUA DO SISTEMA DE VÁCUO</t>
  </si>
  <si>
    <t>839</t>
  </si>
  <si>
    <t>840</t>
  </si>
  <si>
    <t>6-9611920031</t>
  </si>
  <si>
    <t>V34 VÁLVULA ESFERA DO SISTEMA DE VÁCUO</t>
  </si>
  <si>
    <t>841</t>
  </si>
  <si>
    <t>842</t>
  </si>
  <si>
    <t>V35 VÁLVULA DE ENTRADA DE CIP DO SISTEMA DE ALIMENTAÇÃO DE PRODUTO</t>
  </si>
  <si>
    <t>843</t>
  </si>
  <si>
    <t>844</t>
  </si>
  <si>
    <t>6-9611926544</t>
  </si>
  <si>
    <t>V40 VÁLVULA BORBOLETA DE ENTRADA DE ÁGUA DE TORRE DO SISTEMA DE REFRIGERAÇÃO DO CONDENSADOR</t>
  </si>
  <si>
    <t>845</t>
  </si>
  <si>
    <t>6-9611923032</t>
  </si>
  <si>
    <t>846</t>
  </si>
  <si>
    <t>V41 VÁLVULA DE CONTROLE AUTOMÁTICO DE ÁGUA DE TORRE DE RECIRCULAÇÃO</t>
  </si>
  <si>
    <t>847</t>
  </si>
  <si>
    <t>6-99041765</t>
  </si>
  <si>
    <t>848</t>
  </si>
  <si>
    <t>6-99041768</t>
  </si>
  <si>
    <t>V42 VÁLVULA DE REDUÇÃO DE VAPOR DO SISTEMA DE INJEÇÃO DE VAPOR</t>
  </si>
  <si>
    <t>6-99041172</t>
  </si>
  <si>
    <t>6-99041173</t>
  </si>
  <si>
    <t>6-99041174</t>
  </si>
  <si>
    <t>V44 VÁLVULA DE CONTROLE DE ENTRADA DE VAPOR NO CIRCUITO DE ÁGUA QUENTE DO TROCADOR DE CALOR A PLACAS</t>
  </si>
  <si>
    <t>849</t>
  </si>
  <si>
    <t>850</t>
  </si>
  <si>
    <t>6-99041756</t>
  </si>
  <si>
    <t>V44.2 VÁLVULA DE CONTROLE DE VAPOR DO SISTEMA DE INJEÇÃO DE VAPOR</t>
  </si>
  <si>
    <t>6-99041037</t>
  </si>
  <si>
    <t>851</t>
  </si>
  <si>
    <t>6-99041035</t>
  </si>
  <si>
    <t>852</t>
  </si>
  <si>
    <t>6-99041064</t>
  </si>
  <si>
    <t>6-99041804</t>
  </si>
  <si>
    <t>6-99041806</t>
  </si>
  <si>
    <t>6-99041810</t>
  </si>
  <si>
    <t>V47 VÁLVULA DE SEGURANÇA DE ÁGUA DO SISTEMA DE VÁCUO</t>
  </si>
  <si>
    <t>6-99041402</t>
  </si>
  <si>
    <t>6-99041403</t>
  </si>
  <si>
    <t xml:space="preserve">V50 VÁLVULA DE AGULHAS DE VAPOR PARA DO SISTEMA DE INJEÇÃO DE VAPOR PARA M5 </t>
  </si>
  <si>
    <t>6-99041249</t>
  </si>
  <si>
    <t>V51 VÁLVULA DE ENTRADA DE PRODUTO NO HOMOGEINIZADOR</t>
  </si>
  <si>
    <t>853</t>
  </si>
  <si>
    <t>854</t>
  </si>
  <si>
    <t>6-9611920041</t>
  </si>
  <si>
    <t>V54 VÁLVULA DE EXPANSÃO DE ENTRADA DE PRODUTO NO INJETOR DE VAPOR DO SISTEMA DE ALIMENTAÇÃO DE PRODUTO</t>
  </si>
  <si>
    <t>V58 VÁLVULA ESFERA DE RETORNO DE ÁGUA DE ARREFECIMENTO DO SISTEMA DE REFRIGERAÇÃO DO CONDENSADOR</t>
  </si>
  <si>
    <t>855</t>
  </si>
  <si>
    <t>6-3180121902</t>
  </si>
  <si>
    <t>856</t>
  </si>
  <si>
    <t>V59 VÁLVULA ESFERA DE VAPOR PARA O DRENO DO CIRCUITO DE ÁGUA QUENTE</t>
  </si>
  <si>
    <t>857</t>
  </si>
  <si>
    <t>6-3180121906</t>
  </si>
  <si>
    <t>858</t>
  </si>
  <si>
    <t>V61 VÁLVULA DE DESVIO DE ÁGUA PARA O TROCADOR DE CALOR A PLACAS</t>
  </si>
  <si>
    <t>859</t>
  </si>
  <si>
    <t>860</t>
  </si>
  <si>
    <t>V62 VÁLVULA DE CONTROLE DE RETORNO DE ÁGUA DE ARREFECIMENTO DO SISTEMA DE REFRIGERAÇÃO DO CONDENSADOR</t>
  </si>
  <si>
    <t>861</t>
  </si>
  <si>
    <t>6-99041390</t>
  </si>
  <si>
    <t>6-99041394</t>
  </si>
  <si>
    <t>6-99040902</t>
  </si>
  <si>
    <t>862</t>
  </si>
  <si>
    <t>90523-7216</t>
  </si>
  <si>
    <t>6-99040901</t>
  </si>
  <si>
    <t>6-99041389</t>
  </si>
  <si>
    <t>V63 VÁLVULA DE REGULAÇÃO DE ÁGUA DE ARREFECIMENTO DO CIRCUITO DE ÁGUA</t>
  </si>
  <si>
    <t>863</t>
  </si>
  <si>
    <t>6-99041383</t>
  </si>
  <si>
    <t>864</t>
  </si>
  <si>
    <t>6-99041387</t>
  </si>
  <si>
    <t>6-99041393</t>
  </si>
  <si>
    <t>6-99041899</t>
  </si>
  <si>
    <t>6-99041386</t>
  </si>
  <si>
    <t>V66 VÁLVULA ESFERA DE ÁGUA DO CIRCUITO DE ÁGUA</t>
  </si>
  <si>
    <t>865</t>
  </si>
  <si>
    <t>866</t>
  </si>
  <si>
    <t>V68 VÁLVULA DE CONTRAPRESSÃO DE ÁGUA DO CIRCUITO DE ÁGUA</t>
  </si>
  <si>
    <t>6-0164001112</t>
  </si>
  <si>
    <t xml:space="preserve">V74 VÁLVULA DE PRESSÃO DE ENTRADA/SAÍDA DE ÁGUA </t>
  </si>
  <si>
    <t>867</t>
  </si>
  <si>
    <t>90503-7055</t>
  </si>
  <si>
    <t>90503-7057</t>
  </si>
  <si>
    <t>V75 VÁLVULA DE DESVIO DE ENTRADA/SAÍDA DE ÁGUA</t>
  </si>
  <si>
    <t>868</t>
  </si>
  <si>
    <t>869</t>
  </si>
  <si>
    <t>V76 VÁLVULA DE DESVIO DE ENTRADA/SAÍDA DE ÁGUA/CIP</t>
  </si>
  <si>
    <t>870</t>
  </si>
  <si>
    <t>871</t>
  </si>
  <si>
    <t>V78 VÁLVULA DE PRESSÃO DE ENVIO PARA ENVASE</t>
  </si>
  <si>
    <t>V80 VÁLVULA ESFERA DE SODA DO LOTE SUPERIOR DE CIP</t>
  </si>
  <si>
    <t>872</t>
  </si>
  <si>
    <t>873</t>
  </si>
  <si>
    <t>V81 VÁLVULA ESFERA DO LOTE SUPERIOR DE CIP</t>
  </si>
  <si>
    <t>874</t>
  </si>
  <si>
    <t>875</t>
  </si>
  <si>
    <t>V82 VÁLVULA ESFERA DE ÁCIDO DO LOTE SUPERIOR DE CIP</t>
  </si>
  <si>
    <t>876</t>
  </si>
  <si>
    <t>877</t>
  </si>
  <si>
    <t>V84 VÁLVULA DE ESFERA TRIPARTIDA DO LOTE SUPERIOR DE CIP</t>
  </si>
  <si>
    <t>878</t>
  </si>
  <si>
    <t>6-99041019</t>
  </si>
  <si>
    <t>V85 VÁLVULA ESFERA DE ÁGUA DO LOTE SUPERIOR DE CIP</t>
  </si>
  <si>
    <t>879</t>
  </si>
  <si>
    <t>880</t>
  </si>
  <si>
    <t>CV04 VÁLVULA DE RETENÇÃO DE ÁGUA DO SISTEMA DE VÁCUO</t>
  </si>
  <si>
    <t>881</t>
  </si>
  <si>
    <t>6-9611924007</t>
  </si>
  <si>
    <t>CV06 VÁLVULA DE RETENÇÃO DE CIP DE ENVIO PARA O TANQUE DE REJEITO</t>
  </si>
  <si>
    <t>882</t>
  </si>
  <si>
    <t>CV07 VÁLVULA DE RETENÇÃO DE ÁGUA QUE RETORNA DO ENVASE</t>
  </si>
  <si>
    <t>883</t>
  </si>
  <si>
    <t>CV08 VÁLVULA DE RETENÇÃO DE PRODUTO DE ENTRADA NO INJETOR DE VAPOR DO SISTEMA DE ALIMENTAÇÃO DE PRODUTO</t>
  </si>
  <si>
    <t>884</t>
  </si>
  <si>
    <t>CV09 VÁLVULA DE RETENÇÃO DE VAPOR DO INJETOR DE VAPOR</t>
  </si>
  <si>
    <t>6-3180191972</t>
  </si>
  <si>
    <t>CV44 VÁLVULA DE RETENÇÃO DE ÁGUA PARA ENTRADA NO TROCADOR DE CALOR A PLACAS NO CIRCUITO DE ÁGUA QUENTE</t>
  </si>
  <si>
    <t>6-9611924006</t>
  </si>
  <si>
    <t>CV66 VÁLVULA DE RETENÇÃO DE ENTRADA DE ÁGUA DO CIRCUITO DE ÁGUA</t>
  </si>
  <si>
    <t>885</t>
  </si>
  <si>
    <t>6-9611924005</t>
  </si>
  <si>
    <t>DV44 PURGADOR DE VAPOR DO CIRCUITO DE ÁGUA QUENTE</t>
  </si>
  <si>
    <t>6-99041235</t>
  </si>
  <si>
    <t>PHE - TROCADOR DE CALOR A PLACAS</t>
  </si>
  <si>
    <t>6-3233015096</t>
  </si>
  <si>
    <t>6-3233064996</t>
  </si>
  <si>
    <t>90522-9001</t>
  </si>
  <si>
    <t>THE - TROCADOR DE CALOR TUBULAR</t>
  </si>
  <si>
    <t>PRV-UHT-VTIS-01-78</t>
  </si>
  <si>
    <t>6-164654901</t>
  </si>
  <si>
    <t>CR44 PURGADOR DE VAPOR DO CIRCUITO DE ÁGUA QUENTE</t>
  </si>
  <si>
    <t>6-99041579</t>
  </si>
  <si>
    <t>6-99041580</t>
  </si>
  <si>
    <t>CR53 PURGADOR DE VAPOR DO SISTEMA DE SEPARAÇÃO DE VAPOR</t>
  </si>
  <si>
    <t>6-99041575</t>
  </si>
  <si>
    <t>6-99041576</t>
  </si>
  <si>
    <t>F44 FILTRO DE VAPOR DO CIRCUITO DE ÁGUA QUENTE</t>
  </si>
  <si>
    <t>6-99041207</t>
  </si>
  <si>
    <t>F53 COADOR DE VAPOR DO SISTEMA DE SEPARAÇÃO DE VAPOR</t>
  </si>
  <si>
    <t>6-99041185</t>
  </si>
  <si>
    <t>F58 FILTRO DE ÁGUA  DO SISTEMA DE VÁCUO</t>
  </si>
  <si>
    <t>6-99041202</t>
  </si>
  <si>
    <t>DV9 VÁLVULA ELIMINADORA DE AR DA M9 DO CIRCUITO DE ÁGUA</t>
  </si>
  <si>
    <t>DV11 VÁLVULA ELIMINADORA DE AR DO CIRCUITO DE ÁGUA QUENTE</t>
  </si>
  <si>
    <t>DV66.1 VÁLVULA ELIMINADORA DE AR DE RETORNO DE ÁGUA DO CIRCUITO DE ÁGUA</t>
  </si>
  <si>
    <t>DV66.2 SEPARADOR DE MICRO-BOLHAS DO CIRCUITO DE ÁGUA</t>
  </si>
  <si>
    <t>FI66 MEDIDOR DE VAZÃO DE ÁGUA DO CIRCUITO DE ÁGUA</t>
  </si>
  <si>
    <t>FT02 - TRANSMISSOR DE VAZÃO DE ENVIO DE PRODUTO PARA O TROCADOR DE CALOR A PLACAS</t>
  </si>
  <si>
    <t>6-99041618</t>
  </si>
  <si>
    <t>886</t>
  </si>
  <si>
    <t>6-99041647</t>
  </si>
  <si>
    <t xml:space="preserve"> </t>
  </si>
  <si>
    <t>INSPEÇÕES</t>
  </si>
  <si>
    <t>PONTO DE INSPEÇÃO</t>
  </si>
  <si>
    <t>TAREFA</t>
  </si>
  <si>
    <t>CÓD. TETRA</t>
  </si>
  <si>
    <t>PERIODICIDADE</t>
  </si>
  <si>
    <t>HORÍMETRO ATUAL</t>
  </si>
  <si>
    <t>ÚLTIMA INSPEÇÃO</t>
  </si>
  <si>
    <t>PREVISÃO</t>
  </si>
  <si>
    <t>TEMPO PARA INSPEÇÃO</t>
  </si>
  <si>
    <t>M12</t>
  </si>
  <si>
    <t>CHECAR FUNCIONAMENTO DA UNIDADE DE ALIMENTAÇÃO DE CIP</t>
  </si>
  <si>
    <t>M13</t>
  </si>
  <si>
    <t>V62</t>
  </si>
  <si>
    <t>CHECAR FUNCIONAMENTO DA VÁLVULA REGULADORA (V62)</t>
  </si>
  <si>
    <t>V63</t>
  </si>
  <si>
    <t>CHECAR FUNCIONAMENTO DA VÁLVULA REGULADORA (V63)</t>
  </si>
  <si>
    <t>FI66</t>
  </si>
  <si>
    <t>CHECAR FUNCIONAMENTO DO MEDIDOR DE VAZÃO KROHNE H250</t>
  </si>
  <si>
    <t>CR53</t>
  </si>
  <si>
    <t>CHECAR FUNCIONAMENTO DO PURGADOR DE VAPOR (CR53)</t>
  </si>
  <si>
    <t>F58</t>
  </si>
  <si>
    <t>CHECAR FUNCIONAMENTO DO FILTRO (F58)</t>
  </si>
  <si>
    <t>F44</t>
  </si>
  <si>
    <t>CHECAR FUNCIONAMENTO DO FILTRO (F44)</t>
  </si>
  <si>
    <t>VB44</t>
  </si>
  <si>
    <t>CHECAR FUNCIONAMENTO DO INTERRUPTOR DE VÁCUO (VB44)</t>
  </si>
  <si>
    <t>CR44</t>
  </si>
  <si>
    <t>CHECAR FUNCIONAMENTO DO PURGADOR DE VAPOR (CR44)</t>
  </si>
  <si>
    <t>PHE - TROCADOR A PLACAS</t>
  </si>
  <si>
    <t>CHECAR GAXETAS DAS PLACAS DO TROCADOR</t>
  </si>
  <si>
    <t>CHECAR GAXETAS/VEDAÇÕES DAS CONEXÕES DO TROCADOR</t>
  </si>
  <si>
    <t>PI13</t>
  </si>
  <si>
    <t>CHECAR FUNCIONAMENTO DO MEDIDOR DE PRESSÃO (PI13)</t>
  </si>
  <si>
    <t>PI15</t>
  </si>
  <si>
    <t>CHECAR FUNCIONAMENTO DO MEDIDOR DE PRESSÃO (PI15)</t>
  </si>
  <si>
    <t>PI16</t>
  </si>
  <si>
    <t>CHECAR FUNCIONAMENTO DO MEDIDOR DE PRESSÃO (PI16)</t>
  </si>
  <si>
    <t>PI17</t>
  </si>
  <si>
    <t>CHECAR FUNCIONAMENTO DO MEDIDOR DE PRESSÃO (PI17)</t>
  </si>
  <si>
    <t>PI02</t>
  </si>
  <si>
    <t>CHECAR FUNCIONAMENTO DO MEDIDOR DE PRESSÃO (PI02)</t>
  </si>
  <si>
    <t>PI05</t>
  </si>
  <si>
    <t>CHECAR FUNCIONAMENTO DO MEDIDOR DE PRESSÃO (PI05)</t>
  </si>
  <si>
    <t>PI01</t>
  </si>
  <si>
    <t>CHECAR FUNCIONAMENTO DO MEDIDOR DE PRESSÃO (PI01)</t>
  </si>
  <si>
    <t>PI03</t>
  </si>
  <si>
    <t>CHECAR FUNCIONAMENTO DO MEDIDOR DE PRESSÃO (PI03)</t>
  </si>
  <si>
    <t>PI07</t>
  </si>
  <si>
    <t>CHECAR FUNCIONAMENTO DO MEDIDOR DE PRESSÃO (PI07)</t>
  </si>
  <si>
    <t>PI04</t>
  </si>
  <si>
    <t>CHECAR FUNCIONAMENTO DO MEDIDOR DE PRESSÃO (PI04)</t>
  </si>
  <si>
    <t>PI09</t>
  </si>
  <si>
    <t>CHECAR FUNCIONAMENTO DO MEDIDOR DE PRESSÃO (PI09)</t>
  </si>
  <si>
    <t>PI66</t>
  </si>
  <si>
    <t>CHECAR FUNCIONAMENTO DO MEDIDOR DE PRESSÃO (PI66)</t>
  </si>
  <si>
    <t>PI44</t>
  </si>
  <si>
    <t>CHECAR FUNCIONAMENTO DO MEDIDOR DE PRESSÃO (PI44)</t>
  </si>
  <si>
    <t>PI08</t>
  </si>
  <si>
    <t>CHECAR FUNCIONAMENTO DO MEDIDOR DE PRESSÃO (PI08)</t>
  </si>
  <si>
    <t>PSL10</t>
  </si>
  <si>
    <t>CHECAR FUNCIONAMENTO DO INTERRUPTOR DE PRESSÃO (PSL10)</t>
  </si>
  <si>
    <t>PS66</t>
  </si>
  <si>
    <t>CHECAR FUNCIONAMENTO DO INTERRUPTOR DE PRESSÃO (PS66)</t>
  </si>
  <si>
    <t>V44.2</t>
  </si>
  <si>
    <t>CHECAR FUNCIONAMENTO DA VÁLVULA DE REGULAÇÃO (V44.2)</t>
  </si>
  <si>
    <t>V40</t>
  </si>
  <si>
    <t>CHECAR FUNCIONAMENTO DO ATUADOR DA VÁLVULA BORBOLETA, LUBRIFICAR SE NECESSÁRIO (V40)</t>
  </si>
  <si>
    <t>V76</t>
  </si>
  <si>
    <t>CHECAR FUNCIONAMENTO DO ATUADOR DA VÁLVULA DE DESVIO, LUBRIFICAR SE NECESSÁRIO (V76)</t>
  </si>
  <si>
    <t>V33</t>
  </si>
  <si>
    <t>CHECAR FUNCIONAMENTO DO ATUADOR DA VÁLVULA DE DESVIO, LUBRIFICAR SE NECESSÁRIO (V33)</t>
  </si>
  <si>
    <t>V15</t>
  </si>
  <si>
    <t>CHECAR FUNCIONAMENTO DO ATUADOR DA VÁLVULA DE DESVIO, LUBRIFICAR SE NECESSÁRIO (V15)</t>
  </si>
  <si>
    <t>V14</t>
  </si>
  <si>
    <t>CHECAR FUNCIONAMENTO DO ATUADOR DA VÁLVULA DE DESVIO, LUBRIFICAR SE NECESSÁRIO (V14)</t>
  </si>
  <si>
    <t>V75</t>
  </si>
  <si>
    <t>CHECAR FUNCIONAMENTO DO ATUADOR DA VÁLVULA DE DESVIO, LUBRIFICAR SE NECESSÁRIO (V75)</t>
  </si>
  <si>
    <t>V61</t>
  </si>
  <si>
    <t>CHECAR FUNCIONAMENTO DO ATUADOR DA VÁLVULA DE DESVIO, LUBRIFICAR SE NECESSÁRIO (V61)</t>
  </si>
  <si>
    <t>V35</t>
  </si>
  <si>
    <t>CHECAR FUNCIONAMENTO DO ATUADOR DA VÁLVULA DE SEDE, LUBRIFICAR SE NECESSÁRIO (V35)</t>
  </si>
  <si>
    <t>V05</t>
  </si>
  <si>
    <t>CHECAR FUNCIONAMENTO DO ATUADOR DA VÁLVULA DE SEDE, LUBRIFICAR SE NECESSÁRIO (V05)</t>
  </si>
  <si>
    <t>V51</t>
  </si>
  <si>
    <t>CHECAR FUNCIONAMENTO DO ATUADOR DA VÁLVULA DE SEDE, LUBRIFICAR SE NECESSÁRIO (V51)</t>
  </si>
  <si>
    <t>V41</t>
  </si>
  <si>
    <t>CHECAR FUNCIONAMENTO DA VÁLVULA REGULADORA (V41)</t>
  </si>
  <si>
    <t>V08</t>
  </si>
  <si>
    <t>CHECAR FUNCIONAMENTO DA VÁLVULA REGULADORA (V08)</t>
  </si>
  <si>
    <t>V44</t>
  </si>
  <si>
    <t>CHECAR FUNCIONAMENTO DA VÁLVULA REGULADORA (V44)</t>
  </si>
  <si>
    <t>V23</t>
  </si>
  <si>
    <t>CHECAR FUNCIONAMENTO DO ATUADOR DA VÁLVULA DE ESFERA, LUBRIFICAR SE NECESSÁRIO (V23)</t>
  </si>
  <si>
    <t>V29</t>
  </si>
  <si>
    <t>CHECAR FUNCIONAMENTO DO ATUADOR DA VÁLVULA DE ESFERA, LUBRIFICAR SE NECESSÁRIO (V29)</t>
  </si>
  <si>
    <t>V34</t>
  </si>
  <si>
    <t>CHECAR FUNCIONAMENTO DO ATUADOR DA VÁLVULA DE ESFERA, LUBRIFICAR SE NECESSÁRIO (V34)</t>
  </si>
  <si>
    <t>V04</t>
  </si>
  <si>
    <t>CHECAR FUNCIONAMENTO DO ATUADOR DA VÁLVULA DE ESFERA, LUBRIFICAR SE NECESSÁRIO (V04)</t>
  </si>
  <si>
    <t>V58</t>
  </si>
  <si>
    <t>CHECAR FUNCIONAMENTO DO ATUADOR DA VÁLVULA DE ESFERA, LUBRIFICAR SE NECESSÁRIO (V58)</t>
  </si>
  <si>
    <t>V66</t>
  </si>
  <si>
    <t>CHECAR FUNCIONAMENTO DO ATUADOR DA VÁLVULA DE ESFERA, LUBRIFICAR SE NECESSÁRIO (V66)</t>
  </si>
  <si>
    <t>V59</t>
  </si>
  <si>
    <t>CHECAR FUNCIONAMENTO DO ATUADOR DA VÁLVULA DE ESFERA, LUBRIFICAR SE NECESSÁRIO (V59)</t>
  </si>
  <si>
    <t>V80</t>
  </si>
  <si>
    <t>CHECAR FUNCIONAMENTO DO ATUADOR DA VÁLVULA DE ESFERA, LUBRIFICAR SE NECESSÁRIO (V80)</t>
  </si>
  <si>
    <t>V81</t>
  </si>
  <si>
    <t>CHECAR FUNCIONAMENTO DO ATUADOR DA VÁLVULA DE ESFERA, LUBRIFICAR SE NECESSÁRIO (V81)</t>
  </si>
  <si>
    <t>V82</t>
  </si>
  <si>
    <t>CHECAR FUNCIONAMENTO DO ATUADOR DA VÁLVULA DE ESFERA, LUBRIFICAR SE NECESSÁRIO (V82)</t>
  </si>
  <si>
    <t>V85</t>
  </si>
  <si>
    <t>CHECAR FUNCIONAMENTO DO ATUADOR DA VÁLVULA DE ESFERA, LUBRIFICAR SE NECESSÁRIO (V85)</t>
  </si>
  <si>
    <t>U.M</t>
  </si>
  <si>
    <t>FRENQ. TROCA</t>
  </si>
  <si>
    <r>
      <rPr>
        <rFont val="Arial"/>
        <b/>
        <color theme="1"/>
        <sz val="12.0"/>
      </rPr>
      <t>GAXETAS DOS PISTÕES</t>
    </r>
    <r>
      <rPr>
        <rFont val="Arial"/>
        <b/>
        <color rgb="FF0000FF"/>
        <sz val="12.0"/>
      </rPr>
      <t xml:space="preserve"> - PROG: 11
CÓD BICOM - 0799-8016
SA PADRÃO - 243905</t>
    </r>
  </si>
  <si>
    <t>06000001594</t>
  </si>
  <si>
    <t>6-4722273901</t>
  </si>
  <si>
    <t>ANEL DE BORRACHA DO KIT VTIS</t>
  </si>
  <si>
    <t>PC</t>
  </si>
  <si>
    <t>06000002113</t>
  </si>
  <si>
    <t>6-4722298801</t>
  </si>
  <si>
    <t>VEDACAO DO KIT VTIS</t>
  </si>
  <si>
    <t>06000012362</t>
  </si>
  <si>
    <t>6-4722141807</t>
  </si>
  <si>
    <t>ANEL DA GUIA EM BORRACHA</t>
  </si>
  <si>
    <t>06000001585</t>
  </si>
  <si>
    <t>6-4722093104</t>
  </si>
  <si>
    <t>ANEL DE BORRACHA KIT VTIS E FLEX</t>
  </si>
  <si>
    <t>06000003339</t>
  </si>
  <si>
    <t>6-4722529001</t>
  </si>
  <si>
    <t>06000008662</t>
  </si>
  <si>
    <t>6-4723137046</t>
  </si>
  <si>
    <t>ANEL DE VEDACAO DE BORRACHA</t>
  </si>
  <si>
    <t>BARREIRA DE VAPOR</t>
  </si>
  <si>
    <t>06000001599</t>
  </si>
  <si>
    <t>6-4722528901</t>
  </si>
  <si>
    <r>
      <rPr>
        <rFont val="Arial"/>
        <b/>
        <color theme="1"/>
        <sz val="12.0"/>
      </rPr>
      <t xml:space="preserve">BLOCO DO MOTOR (CARTER) </t>
    </r>
    <r>
      <rPr>
        <rFont val="Arial"/>
        <b/>
        <color rgb="FF0000FF"/>
        <sz val="12.0"/>
      </rPr>
      <t>- PROG: 39</t>
    </r>
  </si>
  <si>
    <t>06300000044</t>
  </si>
  <si>
    <t>SHELL OMALA 220</t>
  </si>
  <si>
    <t>BD</t>
  </si>
  <si>
    <r>
      <rPr>
        <rFont val="Arial"/>
        <b/>
        <color theme="1"/>
        <sz val="12.0"/>
      </rPr>
      <t xml:space="preserve">CAIXA DE REDUÇÃO - </t>
    </r>
    <r>
      <rPr>
        <rFont val="Arial"/>
        <b/>
        <color rgb="FF0000FF"/>
        <sz val="12.0"/>
      </rPr>
      <t>PROG: 39</t>
    </r>
  </si>
  <si>
    <t>06300000045</t>
  </si>
  <si>
    <t>SHELL OMALA 320</t>
  </si>
  <si>
    <t>L</t>
  </si>
  <si>
    <r>
      <rPr>
        <rFont val="Arial"/>
        <b/>
        <color theme="1"/>
        <sz val="12.0"/>
      </rPr>
      <t xml:space="preserve">UNIDADE HIDRAULICA </t>
    </r>
    <r>
      <rPr>
        <rFont val="Arial"/>
        <b/>
        <color rgb="FF0000FF"/>
        <sz val="12.0"/>
      </rPr>
      <t>- PROG: 39</t>
    </r>
  </si>
  <si>
    <t>06300000423</t>
  </si>
  <si>
    <t>OLEO LUBRIFICANTE H1-0530</t>
  </si>
  <si>
    <r>
      <rPr>
        <rFont val="Arial"/>
        <b/>
        <color theme="1"/>
        <sz val="12.0"/>
      </rPr>
      <t xml:space="preserve">PISTOES E BUCHAS DE ENCOSTO DE BRONZE </t>
    </r>
    <r>
      <rPr>
        <rFont val="Arial"/>
        <b/>
        <color rgb="FF0000FF"/>
        <sz val="12.0"/>
      </rPr>
      <t>- PROG: 97</t>
    </r>
  </si>
  <si>
    <t>06000008643</t>
  </si>
  <si>
    <t>6-4722935303</t>
  </si>
  <si>
    <t>PISTOES</t>
  </si>
  <si>
    <t>06000003953 e 06000003210</t>
  </si>
  <si>
    <t>6-4722266201</t>
  </si>
  <si>
    <t>BUCHAS ENCOSTO DE BRONZE</t>
  </si>
  <si>
    <r>
      <rPr>
        <rFont val="Arial"/>
        <b/>
        <color theme="1"/>
        <sz val="12.0"/>
      </rPr>
      <t xml:space="preserve">BLOCO HOMOGENEIZADOR </t>
    </r>
    <r>
      <rPr>
        <rFont val="Arial"/>
        <b/>
        <color rgb="FF0000FF"/>
        <sz val="12.0"/>
      </rPr>
      <t>- PROG: 275</t>
    </r>
  </si>
  <si>
    <t>6-4723137012</t>
  </si>
  <si>
    <t>6-4723137015</t>
  </si>
  <si>
    <t>6-4722715203</t>
  </si>
  <si>
    <t>ANEL SUP</t>
  </si>
  <si>
    <t>6-4723137035</t>
  </si>
  <si>
    <t>6-4723137010</t>
  </si>
  <si>
    <t>6-4723137006</t>
  </si>
  <si>
    <t>6-4722715102</t>
  </si>
  <si>
    <t>SUPORTE</t>
  </si>
  <si>
    <t>6-4722141803</t>
  </si>
  <si>
    <t>GUIA</t>
  </si>
  <si>
    <t>6-4723137008</t>
  </si>
  <si>
    <t>6-4306000007</t>
  </si>
  <si>
    <t>6-4722715302</t>
  </si>
  <si>
    <t>06000013836</t>
  </si>
  <si>
    <t>6-4723212308</t>
  </si>
  <si>
    <t>CORREIA TRAPEZOIDAL XPC 3000</t>
  </si>
  <si>
    <t xml:space="preserve">UN </t>
  </si>
  <si>
    <t>06000003213</t>
  </si>
  <si>
    <t>6-4722198901</t>
  </si>
  <si>
    <t>COIFA</t>
  </si>
  <si>
    <t>06000017021 E 06000009668</t>
  </si>
  <si>
    <t>6-4723125106</t>
  </si>
  <si>
    <t>ABRACADEIRA</t>
  </si>
  <si>
    <r>
      <rPr>
        <rFont val="Arial"/>
        <b/>
        <color theme="1"/>
        <sz val="12.0"/>
      </rPr>
      <t>M6 MOTOR</t>
    </r>
    <r>
      <rPr>
        <rFont val="Arial"/>
        <b/>
        <color rgb="FF0000FF"/>
        <sz val="12.0"/>
      </rPr>
      <t xml:space="preserve"> - PROG: 207</t>
    </r>
  </si>
  <si>
    <t>06000018120</t>
  </si>
  <si>
    <t>90511-7186</t>
  </si>
  <si>
    <t>ROLAMENTO 6313-C3 TRAZEIRO</t>
  </si>
  <si>
    <t>06000018119</t>
  </si>
  <si>
    <t>90512-4023</t>
  </si>
  <si>
    <t>ROLAMENTO 6319-C3 DIANTEIRO</t>
  </si>
  <si>
    <t>TPA3/FLEX 01</t>
  </si>
  <si>
    <t>1255557-0000</t>
  </si>
  <si>
    <t>JUNTA DE VEDACAO</t>
  </si>
  <si>
    <t>927422-0005</t>
  </si>
  <si>
    <t>O-RING 36.2X3 SILICON</t>
  </si>
  <si>
    <t>927422-0006</t>
  </si>
  <si>
    <t>O-RING 42.2X3 SILICON</t>
  </si>
  <si>
    <t>315229-0103</t>
  </si>
  <si>
    <t>Square Ring, 23,1x30,1x3,7</t>
  </si>
  <si>
    <t>315229-0104</t>
  </si>
  <si>
    <t>Square Ring, 35,8x42,8x3,7 mm 1"1/2 FDA</t>
  </si>
  <si>
    <t>315229-0105</t>
  </si>
  <si>
    <t>Square Ring, 48,5x55,5x3,7 mm 2" FDA</t>
  </si>
  <si>
    <t>315229-0107</t>
  </si>
  <si>
    <t>Gaxeta 73,9x80,9x3,7 mm 2"1/2 FDA</t>
  </si>
  <si>
    <t>2734102-0000</t>
  </si>
  <si>
    <t>Casquilho</t>
  </si>
  <si>
    <t>90458-0274</t>
  </si>
  <si>
    <t>Disco para acoplamento</t>
  </si>
  <si>
    <t>90607-0389</t>
  </si>
  <si>
    <t>Rolamento W 6203-2RS2/VT127</t>
  </si>
  <si>
    <t>90091-0412</t>
  </si>
  <si>
    <t>Seal Ring</t>
  </si>
  <si>
    <t>90458-1704</t>
  </si>
  <si>
    <t>ROLAMENTO DE ESFERAS</t>
  </si>
  <si>
    <t>90214-0303</t>
  </si>
  <si>
    <t>ANEL</t>
  </si>
  <si>
    <t>315753-0130</t>
  </si>
  <si>
    <t>Anel de retenção DIN 472 47 SS</t>
  </si>
  <si>
    <t>315753-0119</t>
  </si>
  <si>
    <t>ANEL DE FR DIN 471 25 A2</t>
  </si>
  <si>
    <t>90608-5674</t>
  </si>
  <si>
    <t>90459-1650</t>
  </si>
  <si>
    <t>ANEL VEDANTE</t>
  </si>
  <si>
    <t>90600-6017</t>
  </si>
  <si>
    <t>VEDANTE</t>
  </si>
  <si>
    <t>90601-2426</t>
  </si>
  <si>
    <t>90602-0271</t>
  </si>
  <si>
    <t>90606-6965</t>
  </si>
  <si>
    <t>Rolamento</t>
  </si>
  <si>
    <t>315205-0509</t>
  </si>
  <si>
    <t>O-ring 10,78x2,62 mm</t>
  </si>
  <si>
    <t>315205-0734</t>
  </si>
  <si>
    <t>O-ring 47,29x2,62 mm</t>
  </si>
  <si>
    <t>90091-0440</t>
  </si>
  <si>
    <t>RETENTOR</t>
  </si>
  <si>
    <t>321309-0103</t>
  </si>
  <si>
    <t>ROLAMENTO 6203</t>
  </si>
  <si>
    <t>1498068-0000</t>
  </si>
  <si>
    <t>321306-0105</t>
  </si>
  <si>
    <t>ROLAMENTO 6005</t>
  </si>
  <si>
    <t>90214-0219</t>
  </si>
  <si>
    <t>90141-0019</t>
  </si>
  <si>
    <t>ANEL DE RENTECAO DE ACO</t>
  </si>
  <si>
    <t>1144783-0000</t>
  </si>
  <si>
    <t>CORREIA</t>
  </si>
  <si>
    <t>315751-0119</t>
  </si>
  <si>
    <t>ANEL DE TRAVA DE ACO</t>
  </si>
  <si>
    <t>1144841-0000</t>
  </si>
  <si>
    <t>CORREIA DE TRASMISSAO , DENTADA DE PLASTICO POLIURETANO REFORCADO COM MALHA  DE ACO</t>
  </si>
  <si>
    <t>90091-0297</t>
  </si>
  <si>
    <t>RETENTOR B+L UE 35 477 2</t>
  </si>
  <si>
    <t>3015733-0000</t>
  </si>
  <si>
    <t>1478928-0000</t>
  </si>
  <si>
    <t>CASQUILHO</t>
  </si>
  <si>
    <t>90235-0847</t>
  </si>
  <si>
    <t>Flow controller</t>
  </si>
  <si>
    <t>3015731-0000</t>
  </si>
  <si>
    <t>SUPORTE DE ACO</t>
  </si>
  <si>
    <t>3020023-0000</t>
  </si>
  <si>
    <t>344226-0105</t>
  </si>
  <si>
    <t>ROLAMENTO SKF6205-2RS</t>
  </si>
  <si>
    <t>90091-0299</t>
  </si>
  <si>
    <t>1260944-0000</t>
  </si>
  <si>
    <t>BUCHA DE MANCAL</t>
  </si>
  <si>
    <t>344224-0205</t>
  </si>
  <si>
    <t>ROLAMENTO DE ESFERAS DE CARGA RADIAL</t>
  </si>
  <si>
    <t>90115-0181</t>
  </si>
  <si>
    <t>TERMINAL ROTULAR</t>
  </si>
  <si>
    <t>90115-0182</t>
  </si>
  <si>
    <t>90115-0139</t>
  </si>
  <si>
    <t>90115-0180</t>
  </si>
  <si>
    <t>TERMINAL DE ARTICULACAO</t>
  </si>
  <si>
    <t>1282708-0000</t>
  </si>
  <si>
    <t>90134-0058</t>
  </si>
  <si>
    <t>CONEXÃO</t>
  </si>
  <si>
    <t>351523-0217</t>
  </si>
  <si>
    <t>315202-0107</t>
  </si>
  <si>
    <t>ANEL DE VEDACAO 9,1 X 1,6 MM</t>
  </si>
  <si>
    <t>90608-3876</t>
  </si>
  <si>
    <t>Rolamento 17/40x12</t>
  </si>
  <si>
    <t>2922973-0000</t>
  </si>
  <si>
    <t>90600-3595</t>
  </si>
  <si>
    <t>ROLAMENTO</t>
  </si>
  <si>
    <t>2774953-0000</t>
  </si>
  <si>
    <t>TRILHO</t>
  </si>
  <si>
    <t>1607020-0020</t>
  </si>
  <si>
    <t>LUBRIFICANTE H1-600- 14 L</t>
  </si>
  <si>
    <t>ANÉIS DE FORMAÇÃO</t>
  </si>
  <si>
    <t>06000001156</t>
  </si>
  <si>
    <t>90240-0172</t>
  </si>
  <si>
    <t>Bucha</t>
  </si>
  <si>
    <t>06000002969</t>
  </si>
  <si>
    <t>2033-0011</t>
  </si>
  <si>
    <t>Arruela</t>
  </si>
  <si>
    <t>06000008689</t>
  </si>
  <si>
    <t>2715570-0000</t>
  </si>
  <si>
    <t>ROLO</t>
  </si>
  <si>
    <t>06000011168</t>
  </si>
  <si>
    <t>3184873-0000</t>
  </si>
  <si>
    <t>CONTRA-ROLO</t>
  </si>
  <si>
    <t xml:space="preserve">SIS. MANDIBULAS - UNID. DE FORMAÇÃO </t>
  </si>
  <si>
    <t>06000005409</t>
  </si>
  <si>
    <t>2774798-0000</t>
  </si>
  <si>
    <t>Faca</t>
  </si>
  <si>
    <t>06000016104</t>
  </si>
  <si>
    <t>3502020-0000</t>
  </si>
  <si>
    <t>Indutor</t>
  </si>
  <si>
    <t>06000000708</t>
  </si>
  <si>
    <t>312145-0238</t>
  </si>
  <si>
    <t>parafuso</t>
  </si>
  <si>
    <t>3421134-0000</t>
  </si>
  <si>
    <t>1528639-0000</t>
  </si>
  <si>
    <t>Gaxeta</t>
  </si>
  <si>
    <t>315202-0705</t>
  </si>
  <si>
    <t>Anel</t>
  </si>
  <si>
    <t>351523-0104</t>
  </si>
  <si>
    <t>90600-2016</t>
  </si>
  <si>
    <t>90600-2015</t>
  </si>
  <si>
    <t>90459-6026</t>
  </si>
  <si>
    <t>90459-6019</t>
  </si>
  <si>
    <t>90459-6023</t>
  </si>
  <si>
    <t>90600-2018</t>
  </si>
  <si>
    <t>Cotentor</t>
  </si>
  <si>
    <t>315202-0105</t>
  </si>
  <si>
    <t xml:space="preserve">O-ring  </t>
  </si>
  <si>
    <t>1260328-0000</t>
  </si>
  <si>
    <t>Mola</t>
  </si>
  <si>
    <t>90091-0368</t>
  </si>
  <si>
    <t>Wear Ring</t>
  </si>
  <si>
    <t>90091-0428</t>
  </si>
  <si>
    <t>Selo</t>
  </si>
  <si>
    <t>90091-0359</t>
  </si>
  <si>
    <t>X-Selo</t>
  </si>
  <si>
    <t>90091-0360</t>
  </si>
  <si>
    <t>Back-UP</t>
  </si>
  <si>
    <t>90091-0364</t>
  </si>
  <si>
    <t>Rod Selo</t>
  </si>
  <si>
    <t>90091-0366</t>
  </si>
  <si>
    <t>90091-0362</t>
  </si>
  <si>
    <t>Scraper</t>
  </si>
  <si>
    <t>2547588-0000</t>
  </si>
  <si>
    <t>2530296-0000</t>
  </si>
  <si>
    <t>Rolo</t>
  </si>
  <si>
    <t>2547589-0000</t>
  </si>
  <si>
    <t>1607000-0020</t>
  </si>
  <si>
    <t>ÓLEO HIDRÁULICO H1-0500</t>
  </si>
  <si>
    <t>90457-0042</t>
  </si>
  <si>
    <t>FILTRO DE ÓLEO</t>
  </si>
  <si>
    <t>2963237-0000</t>
  </si>
  <si>
    <t>90600-7746</t>
  </si>
  <si>
    <t>SISTEMA DE MANDIBULAS</t>
  </si>
  <si>
    <t>2960139-0000</t>
  </si>
  <si>
    <t>BUCHA</t>
  </si>
  <si>
    <t>90600-2013</t>
  </si>
  <si>
    <t>1285003-0000</t>
  </si>
  <si>
    <t>LINK</t>
  </si>
  <si>
    <t>1285006-0000</t>
  </si>
  <si>
    <t>ESPACADOR</t>
  </si>
  <si>
    <t>90240-0180</t>
  </si>
  <si>
    <t>2837095-0000</t>
  </si>
  <si>
    <t>EIXO</t>
  </si>
  <si>
    <t>2774799-0000</t>
  </si>
  <si>
    <t>BLOCO</t>
  </si>
  <si>
    <t>2773510-0000</t>
  </si>
  <si>
    <t>3453559-0000</t>
  </si>
  <si>
    <t>CAME</t>
  </si>
  <si>
    <t>3453560-0000</t>
  </si>
  <si>
    <t>3453561-0000</t>
  </si>
  <si>
    <t>3453562-0000</t>
  </si>
  <si>
    <t>344226-0102</t>
  </si>
  <si>
    <t>344226-0100</t>
  </si>
  <si>
    <t>1036623-0000</t>
  </si>
  <si>
    <t>90603-3538</t>
  </si>
  <si>
    <t>90459-6335</t>
  </si>
  <si>
    <t>90458-0639</t>
  </si>
  <si>
    <t>90459-1058</t>
  </si>
  <si>
    <t>321158-0221</t>
  </si>
  <si>
    <t>90600-8806</t>
  </si>
  <si>
    <t>90600-5539</t>
  </si>
  <si>
    <t>90600-3677</t>
  </si>
  <si>
    <t>1511512-0000</t>
  </si>
  <si>
    <t>90091-0429</t>
  </si>
  <si>
    <t>Retentor</t>
  </si>
  <si>
    <t>2968253-0000</t>
  </si>
  <si>
    <t>06000006896</t>
  </si>
  <si>
    <t>2725145-0000</t>
  </si>
  <si>
    <t>MEMBRANA</t>
  </si>
  <si>
    <t>06000007945</t>
  </si>
  <si>
    <t>90603-2408</t>
  </si>
  <si>
    <t>344226-0107</t>
  </si>
  <si>
    <t>90214-0229</t>
  </si>
  <si>
    <t>Ball Bearing</t>
  </si>
  <si>
    <t>90091-0298</t>
  </si>
  <si>
    <t>1348537-0000</t>
  </si>
  <si>
    <t>1317362-0000</t>
  </si>
  <si>
    <t xml:space="preserve">EIXO </t>
  </si>
  <si>
    <t>1144508-0000</t>
  </si>
  <si>
    <t>PINO</t>
  </si>
  <si>
    <t>1317363-0000</t>
  </si>
  <si>
    <t>90458-1404</t>
  </si>
  <si>
    <t>321130-0200</t>
  </si>
  <si>
    <t>ARRUELA</t>
  </si>
  <si>
    <t>2526249-0000</t>
  </si>
  <si>
    <t>1144494-0000</t>
  </si>
  <si>
    <t>351517-1082</t>
  </si>
  <si>
    <t>90091-0408</t>
  </si>
  <si>
    <t>SELO</t>
  </si>
  <si>
    <t>1144514-0000</t>
  </si>
  <si>
    <t>321133-0375</t>
  </si>
  <si>
    <t>1144665-0000</t>
  </si>
  <si>
    <t>344227-0206</t>
  </si>
  <si>
    <t>3477494-0000</t>
  </si>
  <si>
    <t>1144417-0000</t>
  </si>
  <si>
    <t>3477495-0000</t>
  </si>
  <si>
    <t>PARAFUSO</t>
  </si>
  <si>
    <t>1144354-0000</t>
  </si>
  <si>
    <t>1144335-0000</t>
  </si>
  <si>
    <t>1144312-0000</t>
  </si>
  <si>
    <t>312155-0499</t>
  </si>
  <si>
    <t>2815967-0000</t>
  </si>
  <si>
    <t>2948627-0000</t>
  </si>
  <si>
    <t>2948626-0000</t>
  </si>
  <si>
    <t>90600-2017</t>
  </si>
  <si>
    <t>VEDAÇÃO</t>
  </si>
  <si>
    <t>315211-0103</t>
  </si>
  <si>
    <t>1255390-0000</t>
  </si>
  <si>
    <t>90459-2363</t>
  </si>
  <si>
    <t>2948630-0000</t>
  </si>
  <si>
    <t>REGUA DO TRANSPORTADOR</t>
  </si>
  <si>
    <t>2948629-0000</t>
  </si>
  <si>
    <t>315753-0124</t>
  </si>
  <si>
    <t>315751-0112</t>
  </si>
  <si>
    <t>90603-2399</t>
  </si>
  <si>
    <t>90091-0138</t>
  </si>
  <si>
    <t>VRING</t>
  </si>
  <si>
    <t>90091-0436</t>
  </si>
  <si>
    <t>90605-4082</t>
  </si>
  <si>
    <t>2847932-0000</t>
  </si>
  <si>
    <t>2847941-0000</t>
  </si>
  <si>
    <t>ESPUMA</t>
  </si>
  <si>
    <t>90600-2005</t>
  </si>
  <si>
    <t>312155-0325</t>
  </si>
  <si>
    <t>344227-0205</t>
  </si>
  <si>
    <t>90099-0187</t>
  </si>
  <si>
    <t>PORCA</t>
  </si>
  <si>
    <t>90600-5006</t>
  </si>
  <si>
    <t>315410-0103</t>
  </si>
  <si>
    <t>2871128-0000</t>
  </si>
  <si>
    <t>2983173-0000</t>
  </si>
  <si>
    <t>312115-0372</t>
  </si>
  <si>
    <t>1037853-0000</t>
  </si>
  <si>
    <t>2983172-0000</t>
  </si>
  <si>
    <t>SLEVE</t>
  </si>
  <si>
    <t>1038021-0000</t>
  </si>
  <si>
    <t>2802756-0000</t>
  </si>
  <si>
    <t>POLIA</t>
  </si>
  <si>
    <t>1511195-0000</t>
  </si>
  <si>
    <t>90600-2004</t>
  </si>
  <si>
    <t>ROLAMENTO LINEAR</t>
  </si>
  <si>
    <t>2772647-0000</t>
  </si>
  <si>
    <t>CAMISA</t>
  </si>
  <si>
    <t>2772646-0000</t>
  </si>
  <si>
    <t>PISTÃO</t>
  </si>
  <si>
    <t>2826441-0000</t>
  </si>
  <si>
    <t>90207-0365</t>
  </si>
  <si>
    <t>90207-0363</t>
  </si>
  <si>
    <t>3190765-0000</t>
  </si>
  <si>
    <t>DIAFRAGMA</t>
  </si>
  <si>
    <t>2826440-0000</t>
  </si>
  <si>
    <t>351523-0215</t>
  </si>
  <si>
    <t>351523-0301</t>
  </si>
  <si>
    <t>90091-0237</t>
  </si>
  <si>
    <t>90091-0238</t>
  </si>
  <si>
    <t>90091-0336</t>
  </si>
  <si>
    <t>315754-0113</t>
  </si>
  <si>
    <t>TRAVA</t>
  </si>
  <si>
    <t>315202-0308</t>
  </si>
  <si>
    <t>351477-0101</t>
  </si>
  <si>
    <t>NYLON</t>
  </si>
  <si>
    <t>539212-0000</t>
  </si>
  <si>
    <t>90091-0266</t>
  </si>
  <si>
    <t>90091-0335</t>
  </si>
  <si>
    <t>351523-0304</t>
  </si>
  <si>
    <t>DIMC</t>
  </si>
  <si>
    <t>3276210-0000</t>
  </si>
  <si>
    <t>FILTRO</t>
  </si>
  <si>
    <t>3116592-0000</t>
  </si>
  <si>
    <t>Anel de vedação</t>
  </si>
  <si>
    <t>90604-3847</t>
  </si>
  <si>
    <t>90604-3846</t>
  </si>
  <si>
    <t>90609-7355</t>
  </si>
  <si>
    <t>344271-0238</t>
  </si>
  <si>
    <t>90603-4578</t>
  </si>
  <si>
    <t>90600-2524</t>
  </si>
  <si>
    <t>CONJUNTO</t>
  </si>
  <si>
    <t>90600-2523</t>
  </si>
  <si>
    <t>312115-0370</t>
  </si>
  <si>
    <t>2771006-0003</t>
  </si>
  <si>
    <t>90606-3964</t>
  </si>
  <si>
    <t>SILENCIADOR</t>
  </si>
  <si>
    <t>3516022-0000</t>
  </si>
  <si>
    <t>MOLDE</t>
  </si>
  <si>
    <t>3377120-0000</t>
  </si>
  <si>
    <t>INSERTO</t>
  </si>
  <si>
    <t>90606-3965</t>
  </si>
  <si>
    <t>3151623-0201</t>
  </si>
  <si>
    <t>SORTIDO</t>
  </si>
  <si>
    <t>351456-0607</t>
  </si>
  <si>
    <t>ROLO GUIA</t>
  </si>
  <si>
    <t>90240-0221</t>
  </si>
  <si>
    <t>90240-0153</t>
  </si>
  <si>
    <t>2729842-0000</t>
  </si>
  <si>
    <t>2033-0016</t>
  </si>
  <si>
    <t>3151626-0201</t>
  </si>
  <si>
    <t>344224-0202</t>
  </si>
  <si>
    <t>ROLAMENTO 6002-2RS</t>
  </si>
  <si>
    <t>90328-0024</t>
  </si>
  <si>
    <t>90606-1383</t>
  </si>
  <si>
    <t>90606-1382</t>
  </si>
  <si>
    <t>344224-0206</t>
  </si>
  <si>
    <t>90606-3966</t>
  </si>
  <si>
    <t>06000010257</t>
  </si>
  <si>
    <t>344467-7277</t>
  </si>
  <si>
    <t>COMPOSTO LUBRIFICANTE</t>
  </si>
  <si>
    <t>SISTEMA DE MANDIBULAS - SISTEMA DE PESO</t>
  </si>
  <si>
    <t>90240-0261</t>
  </si>
  <si>
    <t>2681617-0000</t>
  </si>
  <si>
    <t>ENGRENAGEM DE ACO INOX</t>
  </si>
  <si>
    <t>90240-0289</t>
  </si>
  <si>
    <t>BUCHA PARA TRANSMISSAO</t>
  </si>
  <si>
    <t>2681618-0000</t>
  </si>
  <si>
    <t>RODA DE AÇO INOX PARA TRANSMISSAO DE MOVIMENTO</t>
  </si>
  <si>
    <t>2681619-0000</t>
  </si>
  <si>
    <t>ENGRENAGEM HELICOIDAL</t>
  </si>
  <si>
    <t>344270-0163</t>
  </si>
  <si>
    <t>BUCHA DE TRANSMISSAO</t>
  </si>
  <si>
    <t>2618330-0000</t>
  </si>
  <si>
    <t>ANEL TRAVA DE AÇO INOX</t>
  </si>
  <si>
    <t>311112-0262</t>
  </si>
  <si>
    <t>PINO MOLA NÃO ROSCADO EM AÇO INOX</t>
  </si>
  <si>
    <t>2618333-0000</t>
  </si>
  <si>
    <t>FLANGE DE AÇO INOX</t>
  </si>
  <si>
    <t>311112-0255</t>
  </si>
  <si>
    <t>2618332-0000</t>
  </si>
  <si>
    <t>EIXO DE ACO INOX</t>
  </si>
  <si>
    <t>90240-0165</t>
  </si>
  <si>
    <t>BUCHA DE BRONZE 12X16X10 MM</t>
  </si>
  <si>
    <t>2535455-0000</t>
  </si>
  <si>
    <t>ARTICULACAO DE ACO INOX</t>
  </si>
  <si>
    <t>312105-0297</t>
  </si>
  <si>
    <t>PARAFUSO ACO INOX</t>
  </si>
  <si>
    <t>312812-0312</t>
  </si>
  <si>
    <t>CONTRA-POR A2-M4</t>
  </si>
  <si>
    <t>311112-0256</t>
  </si>
  <si>
    <t>PINO COM RASGO DE AÇO</t>
  </si>
  <si>
    <t>315751-0109</t>
  </si>
  <si>
    <t>PRESILHAS</t>
  </si>
  <si>
    <t>315220-0143</t>
  </si>
  <si>
    <t>321133-0260</t>
  </si>
  <si>
    <t>2623513-0000</t>
  </si>
  <si>
    <t>3538891-0000</t>
  </si>
  <si>
    <t>FACAS</t>
  </si>
  <si>
    <t>321101-0203</t>
  </si>
  <si>
    <t>BUCHA BRONZE DIAMETRO 200MM</t>
  </si>
  <si>
    <t>2506340-0000</t>
  </si>
  <si>
    <t>EIXO EXCENTRICO PARA TRANSMISSAO</t>
  </si>
  <si>
    <t>1255117-0000</t>
  </si>
  <si>
    <t>BUCHA DENOMINADA BRONZE</t>
  </si>
  <si>
    <t>321101-0162</t>
  </si>
  <si>
    <t>BUCHA FLANGEADA 10X16X8MM PARA ORGAO TRANSMISSOR DE MOVIMENTO</t>
  </si>
  <si>
    <t>2503669-0000</t>
  </si>
  <si>
    <t>EIXO EXCÊNTRICO</t>
  </si>
  <si>
    <t>1036620-0000</t>
  </si>
  <si>
    <t>256628-0000</t>
  </si>
  <si>
    <t>256629-0001</t>
  </si>
  <si>
    <t>1036618-0000</t>
  </si>
  <si>
    <t>1036615-0000</t>
  </si>
  <si>
    <t>321101-0163</t>
  </si>
  <si>
    <t>2774802-0000</t>
  </si>
  <si>
    <t>TAMPA</t>
  </si>
  <si>
    <t>1548940-0000</t>
  </si>
  <si>
    <t>MOLA</t>
  </si>
  <si>
    <t>90600-2011</t>
  </si>
  <si>
    <t>2774803-0000</t>
  </si>
  <si>
    <t>ASSENTO</t>
  </si>
  <si>
    <t>315202-0116</t>
  </si>
  <si>
    <t>90459-3388</t>
  </si>
  <si>
    <t>2845142-0000</t>
  </si>
  <si>
    <t>PARAGEM</t>
  </si>
  <si>
    <t>2845139-0000</t>
  </si>
  <si>
    <t>MOLA DE PRESSÃO</t>
  </si>
  <si>
    <t>90459-1861</t>
  </si>
  <si>
    <t>90600-2014</t>
  </si>
  <si>
    <t>ACUMULADOR HELIX 30 01</t>
  </si>
  <si>
    <t>ARANHA E RODAS DO HELIX</t>
  </si>
  <si>
    <t>90606-3401</t>
  </si>
  <si>
    <t>ESCOVA</t>
  </si>
  <si>
    <t>90608-3877</t>
  </si>
  <si>
    <t>ROLAMENTO W6204</t>
  </si>
  <si>
    <t>3169909-0000</t>
  </si>
  <si>
    <t>ANEL TRAVA</t>
  </si>
  <si>
    <t>90608-7154</t>
  </si>
  <si>
    <t>ROLAMENTO W6001</t>
  </si>
  <si>
    <t>2948868-0000</t>
  </si>
  <si>
    <t>2727353-0000</t>
  </si>
  <si>
    <t>90603-2403</t>
  </si>
  <si>
    <t>ROLAMENTO W6004</t>
  </si>
  <si>
    <t>90608-3874</t>
  </si>
  <si>
    <t>ROLAMENTO W608</t>
  </si>
  <si>
    <t>2727356-0000</t>
  </si>
  <si>
    <t>ROLAMENTO CATRACA</t>
  </si>
  <si>
    <t>2948958-0000</t>
  </si>
  <si>
    <t>2528297-0000</t>
  </si>
  <si>
    <t>ANEL TRAVA INTERNO</t>
  </si>
  <si>
    <t>2727357-0000</t>
  </si>
  <si>
    <t>2855235-0000</t>
  </si>
  <si>
    <t>2664460-0000</t>
  </si>
  <si>
    <t>351675-0050</t>
  </si>
  <si>
    <t>ADESIVO</t>
  </si>
  <si>
    <t>2727233-0000</t>
  </si>
  <si>
    <t>ENGRENAGEM</t>
  </si>
  <si>
    <t>CAPPER 25</t>
  </si>
  <si>
    <r>
      <rPr>
        <rFont val="Arial"/>
        <color theme="1"/>
        <sz val="13.0"/>
      </rPr>
      <t xml:space="preserve">UNIDADE APLICADORA DE TAMPA </t>
    </r>
    <r>
      <rPr>
        <rFont val="Arial"/>
        <color rgb="FF0000FF"/>
        <sz val="13.0"/>
      </rPr>
      <t>PROG: 33</t>
    </r>
  </si>
  <si>
    <t>06000008972</t>
  </si>
  <si>
    <t>3399156-0000</t>
  </si>
  <si>
    <t xml:space="preserve">CORREIA </t>
  </si>
  <si>
    <t>VIRAR CORREIA DO CAPPER</t>
  </si>
  <si>
    <r>
      <rPr>
        <rFont val="Arial"/>
        <color theme="1"/>
        <sz val="13.0"/>
      </rPr>
      <t xml:space="preserve">UNIDADE DE FREIO DE ENTRADA </t>
    </r>
    <r>
      <rPr>
        <rFont val="Arial"/>
        <color rgb="FF0000FF"/>
        <sz val="13.0"/>
      </rPr>
      <t>PROG. 30</t>
    </r>
    <r>
      <rPr>
        <rFont val="Arial"/>
        <color theme="1"/>
        <sz val="13.0"/>
      </rPr>
      <t xml:space="preserve">
(SPC 1-72 / 1-74 / 1-76)</t>
    </r>
  </si>
  <si>
    <t>06000000658</t>
  </si>
  <si>
    <t>315221-0145</t>
  </si>
  <si>
    <t>06000001414</t>
  </si>
  <si>
    <t>06000013318</t>
  </si>
  <si>
    <t>90608-7194</t>
  </si>
  <si>
    <t>ROLAMENTO W6003</t>
  </si>
  <si>
    <t>06000004074</t>
  </si>
  <si>
    <t>315220-0130</t>
  </si>
  <si>
    <t>06000012080</t>
  </si>
  <si>
    <t>351523-0219</t>
  </si>
  <si>
    <t>06000003983</t>
  </si>
  <si>
    <t>315220-0172</t>
  </si>
  <si>
    <t>06000003047</t>
  </si>
  <si>
    <t>315221-0137</t>
  </si>
  <si>
    <t>351692-0015</t>
  </si>
  <si>
    <t>533237-0000</t>
  </si>
  <si>
    <t>CAVILHA EIXO</t>
  </si>
  <si>
    <r>
      <rPr>
        <rFont val="Arial"/>
        <color theme="1"/>
        <sz val="13.0"/>
      </rPr>
      <t xml:space="preserve">UNIDADE DAS CORREIAS LATERAL </t>
    </r>
    <r>
      <rPr>
        <rFont val="Arial"/>
        <color rgb="FF0000FF"/>
        <sz val="13.0"/>
      </rPr>
      <t>PROG: 31</t>
    </r>
  </si>
  <si>
    <t>06000011366</t>
  </si>
  <si>
    <t>90459-1819</t>
  </si>
  <si>
    <t>06000013368</t>
  </si>
  <si>
    <t>90603-3556</t>
  </si>
  <si>
    <t>ROLAMENTO W 6202-2RS</t>
  </si>
  <si>
    <t xml:space="preserve">UNIDADE APLICADORA DE TAMPA </t>
  </si>
  <si>
    <t>90608-7174</t>
  </si>
  <si>
    <t>ROLAMENTO W6002</t>
  </si>
  <si>
    <t>3235244-0000</t>
  </si>
  <si>
    <t>3235246-0000</t>
  </si>
  <si>
    <t>3238271-0000</t>
  </si>
  <si>
    <r>
      <rPr>
        <rFont val="Arial"/>
        <color theme="1"/>
        <sz val="13.0"/>
      </rPr>
      <t xml:space="preserve">UNIDADE DE FREIO DE ENTRADA </t>
    </r>
    <r>
      <rPr>
        <rFont val="Arial"/>
        <color rgb="FF0000FF"/>
        <sz val="13.0"/>
      </rPr>
      <t>PROG. **</t>
    </r>
  </si>
  <si>
    <t>06000012792</t>
  </si>
  <si>
    <t>90606-8951</t>
  </si>
  <si>
    <t>CORRENTE ACO INOX</t>
  </si>
  <si>
    <t>CARDBOARD PACKER 32 01</t>
  </si>
  <si>
    <t>UNIDADE DE AIMENTAÇÃO - FREIO DE ENTRADA (SPC 1.5 1-4 / 1.5 1-1)</t>
  </si>
  <si>
    <t>90601-0786</t>
  </si>
  <si>
    <t>06190000619</t>
  </si>
  <si>
    <t>RETENTOR 30X40X7</t>
  </si>
  <si>
    <t>315207-0714</t>
  </si>
  <si>
    <t>344224-0203</t>
  </si>
  <si>
    <t>ROLAMENTO W 6003-2RS</t>
  </si>
  <si>
    <t>344224-0204</t>
  </si>
  <si>
    <t>ROLAMENTO W 6004-2RS</t>
  </si>
  <si>
    <t>90091-0418</t>
  </si>
  <si>
    <t>ANEL V-RING</t>
  </si>
  <si>
    <t>90141-0017</t>
  </si>
  <si>
    <t>FORMAÇÃO PADRÃO - EMPURRADOR DE AGRUPAMENTO 
(SPC 2.2 1-1)</t>
  </si>
  <si>
    <t>90240-0222</t>
  </si>
  <si>
    <t>90603-2945</t>
  </si>
  <si>
    <t>FORMAÇÃO PADRÃO - PLACA GUIA DE TRANSFERENCIA        
(SPC 2.2 4-1 / 2.2 8-1)</t>
  </si>
  <si>
    <t>321153-0140</t>
  </si>
  <si>
    <t>3215909-0000</t>
  </si>
  <si>
    <t>90335-0031</t>
  </si>
  <si>
    <t>FORMAÇÃO PADRÃO - CORPO DE TRANSFERENCIA                        
(SPC 2.2.10 5-2 / 2.2 15-2)</t>
  </si>
  <si>
    <t>2750061-0000</t>
  </si>
  <si>
    <t>315751-0115</t>
  </si>
  <si>
    <t>315751-0116</t>
  </si>
  <si>
    <t>344226-0103</t>
  </si>
  <si>
    <t>312155-0329</t>
  </si>
  <si>
    <t>90459-0679</t>
  </si>
  <si>
    <t>90603-4534</t>
  </si>
  <si>
    <t>FORMAÇÃO PADRÃO - BRAÇO DE PARADA (SPC 2.2 4-3)</t>
  </si>
  <si>
    <t>90603-3541</t>
  </si>
  <si>
    <t>AGRUPAMENTO - TRANSFERÊNCIA</t>
  </si>
  <si>
    <t>321141-0140</t>
  </si>
  <si>
    <t>321161-0221</t>
  </si>
  <si>
    <t>90347-0007</t>
  </si>
  <si>
    <t>90608-9474</t>
  </si>
  <si>
    <t>321161-0142</t>
  </si>
  <si>
    <t>90607-5194</t>
  </si>
  <si>
    <t>321153-0136</t>
  </si>
  <si>
    <t>2771221-0000</t>
  </si>
  <si>
    <t>2787843-0000</t>
  </si>
  <si>
    <t>90240-0257</t>
  </si>
  <si>
    <t>1065841-0000</t>
  </si>
  <si>
    <t>90288-0317</t>
  </si>
  <si>
    <t>90141-0020</t>
  </si>
  <si>
    <t>315220-0204</t>
  </si>
  <si>
    <t>315750-0129</t>
  </si>
  <si>
    <t>344224-0209</t>
  </si>
  <si>
    <t>318213-0080</t>
  </si>
  <si>
    <t>90091-0200</t>
  </si>
  <si>
    <t>90091-0304</t>
  </si>
  <si>
    <t>315750-0119</t>
  </si>
  <si>
    <t>90091-0322</t>
  </si>
  <si>
    <t>90610-0513</t>
  </si>
  <si>
    <t>90288-0333</t>
  </si>
  <si>
    <t>FORMAÇÃO BANDEJA - PRENSA DE FUNDO 
(SPC 3.3 10-1)</t>
  </si>
  <si>
    <t>321141-0104</t>
  </si>
  <si>
    <t>FORMAÇÃO BANDEJA - SUPORTE DA BANDEJA (SPC 3.3 15-1)</t>
  </si>
  <si>
    <t>321141-0100</t>
  </si>
  <si>
    <t>321141-0102</t>
  </si>
  <si>
    <t>FORMAÇÃO BANDEJA - PARADA FINAL DA EMBALAGEM          
(SPC3.3 9-1)</t>
  </si>
  <si>
    <t>90240-0325</t>
  </si>
  <si>
    <t>90459-3828</t>
  </si>
  <si>
    <t xml:space="preserve">FORMAÇÃO BANDEJA - ESTAÇÃO DE DOBRAGEM (SPC 3.3 8-3) </t>
  </si>
  <si>
    <t>90240-0184</t>
  </si>
  <si>
    <t>FORMAÇÃO BANDEJA - VENTOSA      
(SPC 3.4 2-1)</t>
  </si>
  <si>
    <t>1021166-0000</t>
  </si>
  <si>
    <t>90604-6808</t>
  </si>
  <si>
    <t>UNIDADE DO MAGAZINE - UNIDADE DE APOIO (SPC 4.4-1 / 4.5-1)</t>
  </si>
  <si>
    <t>90141-0015</t>
  </si>
  <si>
    <t>90348-0033</t>
  </si>
  <si>
    <t>90605-5443</t>
  </si>
  <si>
    <t>LUBRI. CENTRAL - SIST. DE LUBRI. DA FORMACAO PADRÃO (SPC 7.5-1 / 7.4-5) - (SPC 7.6-4)</t>
  </si>
  <si>
    <t>90092-0053</t>
  </si>
  <si>
    <t>1021090-0000</t>
  </si>
  <si>
    <t>1021091-0000</t>
  </si>
  <si>
    <t>1466474-0000</t>
  </si>
  <si>
    <t>1466543-0000</t>
  </si>
  <si>
    <t>1466544-0000</t>
  </si>
  <si>
    <t>3431652-0000</t>
  </si>
  <si>
    <t>3431653-0000</t>
  </si>
  <si>
    <t>TPA3/FLEX 02</t>
  </si>
  <si>
    <t>ACUMULADOR HELIX 30 02</t>
  </si>
  <si>
    <t>CAPPER 25 02</t>
  </si>
  <si>
    <r>
      <rPr>
        <rFont val="Arial"/>
        <color theme="1"/>
        <sz val="13.0"/>
      </rPr>
      <t xml:space="preserve">UNIDADE APLICADORA DE TAMPA </t>
    </r>
    <r>
      <rPr>
        <rFont val="Arial"/>
        <color rgb="FF0000FF"/>
        <sz val="13.0"/>
      </rPr>
      <t>PROG: 33</t>
    </r>
  </si>
  <si>
    <r>
      <rPr>
        <rFont val="Arial"/>
        <color theme="1"/>
        <sz val="13.0"/>
      </rPr>
      <t xml:space="preserve">UNIDADE DE FREIO DE ENTRADA </t>
    </r>
    <r>
      <rPr>
        <rFont val="Arial"/>
        <color rgb="FF0000FF"/>
        <sz val="13.0"/>
      </rPr>
      <t>PROG. 30</t>
    </r>
    <r>
      <rPr>
        <rFont val="Arial"/>
        <color theme="1"/>
        <sz val="13.0"/>
      </rPr>
      <t xml:space="preserve">
(SPC 1-72 / 1-74 / 1-76)</t>
    </r>
  </si>
  <si>
    <r>
      <rPr>
        <rFont val="Arial"/>
        <color theme="1"/>
        <sz val="13.0"/>
      </rPr>
      <t xml:space="preserve">UNIDADE DAS CORREIAS LATERAL </t>
    </r>
    <r>
      <rPr>
        <rFont val="Arial"/>
        <color rgb="FF0000FF"/>
        <sz val="13.0"/>
      </rPr>
      <t>PROG: 31</t>
    </r>
  </si>
  <si>
    <r>
      <rPr>
        <rFont val="Arial"/>
        <color theme="1"/>
        <sz val="13.0"/>
      </rPr>
      <t xml:space="preserve">UNIDADE DE FREIO DE ENTRADA </t>
    </r>
    <r>
      <rPr>
        <rFont val="Arial"/>
        <color rgb="FF0000FF"/>
        <sz val="13.0"/>
      </rPr>
      <t>PROG. **</t>
    </r>
  </si>
  <si>
    <t>CARDBOARD PACKER 32 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</si>
</sst>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"/>
  </numFmts>
  <fonts count="20">
    <font>
      <sz val="11.0"/>
      <color theme="1"/>
      <name val="Calibri"/>
      <scheme val="minor"/>
    </font>
    <font>
      <b/>
      <sz val="16.0"/>
      <color theme="0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22.0"/>
      <color theme="0"/>
      <name val="Calibri"/>
    </font>
    <font>
      <b/>
      <sz val="12.0"/>
      <color theme="1"/>
      <name val="Arial"/>
    </font>
    <font>
      <b/>
      <sz val="14.0"/>
      <color theme="1"/>
      <name val="Calibri"/>
    </font>
    <font>
      <b/>
      <sz val="14.0"/>
      <color rgb="FF000000"/>
      <name val="Calibri"/>
    </font>
    <font>
      <color theme="1"/>
      <name val="Calibri"/>
      <scheme val="minor"/>
    </font>
    <font>
      <b/>
      <sz val="24.0"/>
      <color theme="0"/>
      <name val="Calibri"/>
    </font>
    <font>
      <b/>
      <sz val="20.0"/>
      <color theme="0"/>
      <name val="Arial"/>
    </font>
    <font>
      <b/>
      <sz val="14.0"/>
      <color rgb="FF0000FF"/>
      <name val="Calibri"/>
    </font>
    <font>
      <b/>
      <sz val="13.0"/>
      <color theme="1"/>
      <name val="Arial"/>
    </font>
    <font>
      <sz val="13.0"/>
      <color theme="1"/>
      <name val="Arial"/>
    </font>
    <font>
      <b/>
      <sz val="14.0"/>
      <color theme="0"/>
      <name val="Calibri"/>
    </font>
    <font>
      <b/>
      <sz val="12.0"/>
      <color theme="1"/>
      <name val="Calibri"/>
    </font>
    <font>
      <b/>
      <sz val="28.0"/>
      <color theme="0"/>
      <name val="Arial"/>
    </font>
    <font>
      <b/>
      <sz val="26.0"/>
      <color theme="0"/>
      <name val="Calibri"/>
    </font>
    <font>
      <sz val="13.0"/>
      <color rgb="FFFF0000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EFEFEF"/>
        <bgColor rgb="FFEFEFEF"/>
      </patternFill>
    </fill>
    <fill>
      <patternFill patternType="solid">
        <fgColor rgb="FFA8D08D"/>
        <bgColor rgb="FFA8D08D"/>
      </patternFill>
    </fill>
    <fill>
      <patternFill patternType="solid">
        <fgColor rgb="FFF3F3F3"/>
        <bgColor rgb="FFF3F3F3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0" fontId="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8" fillId="0" fontId="3" numFmtId="0" xfId="0" applyBorder="1" applyFont="1"/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6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7" fillId="0" fontId="3" numFmtId="3" xfId="0" applyAlignment="1" applyBorder="1" applyFont="1" applyNumberForma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" fillId="0" fontId="4" numFmtId="0" xfId="0" applyAlignment="1" applyBorder="1" applyFont="1">
      <alignment horizontal="center"/>
    </xf>
    <xf borderId="7" fillId="0" fontId="3" numFmtId="0" xfId="0" applyBorder="1" applyFont="1"/>
    <xf borderId="7" fillId="0" fontId="3" numFmtId="3" xfId="0" applyBorder="1" applyFont="1" applyNumberFormat="1"/>
    <xf borderId="1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7" fillId="3" fontId="3" numFmtId="0" xfId="0" applyBorder="1" applyFill="1" applyFont="1"/>
    <xf borderId="15" fillId="4" fontId="5" numFmtId="0" xfId="0" applyAlignment="1" applyBorder="1" applyFill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4" fontId="3" numFmtId="0" xfId="0" applyBorder="1" applyFont="1"/>
    <xf borderId="19" fillId="4" fontId="3" numFmtId="0" xfId="0" applyBorder="1" applyFont="1"/>
    <xf borderId="20" fillId="4" fontId="3" numFmtId="0" xfId="0" applyBorder="1" applyFont="1"/>
    <xf borderId="7" fillId="5" fontId="6" numFmtId="0" xfId="0" applyAlignment="1" applyBorder="1" applyFill="1" applyFont="1">
      <alignment horizontal="center" shrinkToFit="0" vertical="center" wrapText="1"/>
    </xf>
    <xf borderId="7" fillId="5" fontId="6" numFmtId="49" xfId="0" applyAlignment="1" applyBorder="1" applyFont="1" applyNumberFormat="1">
      <alignment horizontal="center" shrinkToFit="0" vertical="center" wrapText="1"/>
    </xf>
    <xf borderId="7" fillId="5" fontId="6" numFmtId="164" xfId="0" applyAlignment="1" applyBorder="1" applyFont="1" applyNumberFormat="1">
      <alignment horizontal="center" shrinkToFit="0" vertical="center" wrapText="1"/>
    </xf>
    <xf borderId="7" fillId="5" fontId="6" numFmtId="0" xfId="0" applyAlignment="1" applyBorder="1" applyFont="1">
      <alignment horizontal="center" vertical="center"/>
    </xf>
    <xf borderId="21" fillId="5" fontId="6" numFmtId="0" xfId="0" applyAlignment="1" applyBorder="1" applyFont="1">
      <alignment horizontal="center" shrinkToFit="0" vertical="center" wrapText="1"/>
    </xf>
    <xf borderId="22" fillId="5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shrinkToFit="0" vertical="center" wrapText="1"/>
    </xf>
    <xf borderId="7" fillId="6" fontId="6" numFmtId="49" xfId="0" applyAlignment="1" applyBorder="1" applyFill="1" applyFont="1" applyNumberFormat="1">
      <alignment horizontal="center" shrinkToFit="0" vertical="center" wrapText="1"/>
    </xf>
    <xf borderId="7" fillId="6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6" fontId="6" numFmtId="164" xfId="0" applyAlignment="1" applyBorder="1" applyFont="1" applyNumberFormat="1">
      <alignment horizontal="center" shrinkToFit="0" vertical="center" wrapText="1"/>
    </xf>
    <xf borderId="7" fillId="6" fontId="6" numFmtId="14" xfId="0" applyAlignment="1" applyBorder="1" applyFont="1" applyNumberFormat="1">
      <alignment horizontal="center" shrinkToFit="0" vertical="center" wrapText="1"/>
    </xf>
    <xf borderId="21" fillId="6" fontId="6" numFmtId="0" xfId="0" applyAlignment="1" applyBorder="1" applyFont="1">
      <alignment horizontal="center" shrinkToFit="0" vertical="center" wrapText="1"/>
    </xf>
    <xf borderId="24" fillId="7" fontId="6" numFmtId="0" xfId="0" applyAlignment="1" applyBorder="1" applyFill="1" applyFont="1">
      <alignment horizontal="center" shrinkToFit="0" vertical="center" wrapText="1"/>
    </xf>
    <xf borderId="7" fillId="7" fontId="6" numFmtId="49" xfId="0" applyAlignment="1" applyBorder="1" applyFont="1" applyNumberFormat="1">
      <alignment horizontal="center" shrinkToFit="0" vertical="center" wrapText="1"/>
    </xf>
    <xf borderId="7" fillId="7" fontId="6" numFmtId="0" xfId="0" applyAlignment="1" applyBorder="1" applyFont="1">
      <alignment horizontal="center" shrinkToFit="0" vertical="center" wrapText="1"/>
    </xf>
    <xf borderId="7" fillId="7" fontId="6" numFmtId="164" xfId="0" applyAlignment="1" applyBorder="1" applyFont="1" applyNumberFormat="1">
      <alignment horizontal="center" shrinkToFit="0" vertical="center" wrapText="1"/>
    </xf>
    <xf borderId="21" fillId="7" fontId="6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25" fillId="0" fontId="2" numFmtId="0" xfId="0" applyBorder="1" applyFont="1"/>
    <xf borderId="26" fillId="0" fontId="2" numFmtId="0" xfId="0" applyBorder="1" applyFont="1"/>
    <xf borderId="24" fillId="0" fontId="6" numFmtId="0" xfId="0" applyAlignment="1" applyBorder="1" applyFont="1">
      <alignment horizontal="center" shrinkToFit="0" vertical="center" wrapText="1"/>
    </xf>
    <xf borderId="7" fillId="0" fontId="6" numFmtId="49" xfId="0" applyAlignment="1" applyBorder="1" applyFont="1" applyNumberFormat="1">
      <alignment horizontal="center" shrinkToFit="0" vertical="center" wrapText="1"/>
    </xf>
    <xf quotePrefix="1" borderId="7" fillId="7" fontId="6" numFmtId="0" xfId="0" applyAlignment="1" applyBorder="1" applyFont="1">
      <alignment horizontal="center" shrinkToFit="0" vertical="center" wrapText="1"/>
    </xf>
    <xf borderId="24" fillId="6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vertical="center"/>
    </xf>
    <xf borderId="7" fillId="6" fontId="6" numFmtId="49" xfId="0" applyAlignment="1" applyBorder="1" applyFont="1" applyNumberFormat="1">
      <alignment horizontal="center" vertical="center"/>
    </xf>
    <xf borderId="24" fillId="6" fontId="7" numFmtId="0" xfId="0" applyAlignment="1" applyBorder="1" applyFont="1">
      <alignment horizontal="center" vertical="center"/>
    </xf>
    <xf borderId="1" fillId="6" fontId="6" numFmtId="49" xfId="0" applyAlignment="1" applyBorder="1" applyFont="1" applyNumberFormat="1">
      <alignment horizontal="center" vertical="center"/>
    </xf>
    <xf borderId="24" fillId="7" fontId="8" numFmtId="49" xfId="0" applyAlignment="1" applyBorder="1" applyFont="1" applyNumberFormat="1">
      <alignment horizontal="center" shrinkToFit="0" vertical="center" wrapText="1"/>
    </xf>
    <xf borderId="7" fillId="7" fontId="8" numFmtId="49" xfId="0" applyAlignment="1" applyBorder="1" applyFont="1" applyNumberFormat="1">
      <alignment horizontal="center" shrinkToFit="0" vertical="center" wrapText="1"/>
    </xf>
    <xf borderId="7" fillId="7" fontId="6" numFmtId="49" xfId="0" applyAlignment="1" applyBorder="1" applyFont="1" applyNumberFormat="1">
      <alignment horizontal="center" vertical="center"/>
    </xf>
    <xf borderId="7" fillId="7" fontId="6" numFmtId="0" xfId="0" applyAlignment="1" applyBorder="1" applyFont="1">
      <alignment horizontal="center" vertical="center"/>
    </xf>
    <xf borderId="1" fillId="7" fontId="6" numFmtId="49" xfId="0" applyAlignment="1" applyBorder="1" applyFont="1" applyNumberFormat="1">
      <alignment horizontal="center" vertical="center"/>
    </xf>
    <xf borderId="24" fillId="6" fontId="8" numFmtId="49" xfId="0" applyAlignment="1" applyBorder="1" applyFont="1" applyNumberFormat="1">
      <alignment horizontal="center" shrinkToFit="0" vertical="center" wrapText="1"/>
    </xf>
    <xf borderId="7" fillId="0" fontId="8" numFmtId="49" xfId="0" applyAlignment="1" applyBorder="1" applyFont="1" applyNumberFormat="1">
      <alignment horizontal="center" shrinkToFit="0" vertical="center" wrapText="1"/>
    </xf>
    <xf borderId="24" fillId="8" fontId="8" numFmtId="49" xfId="0" applyAlignment="1" applyBorder="1" applyFill="1" applyFont="1" applyNumberFormat="1">
      <alignment horizontal="center" shrinkToFit="0" vertical="center" wrapText="1"/>
    </xf>
    <xf borderId="7" fillId="8" fontId="6" numFmtId="49" xfId="0" applyAlignment="1" applyBorder="1" applyFont="1" applyNumberFormat="1">
      <alignment horizontal="center" vertical="center"/>
    </xf>
    <xf borderId="1" fillId="8" fontId="6" numFmtId="49" xfId="0" applyAlignment="1" applyBorder="1" applyFont="1" applyNumberFormat="1">
      <alignment horizontal="center" vertical="center"/>
    </xf>
    <xf borderId="7" fillId="8" fontId="8" numFmtId="49" xfId="0" applyAlignment="1" applyBorder="1" applyFont="1" applyNumberFormat="1">
      <alignment horizontal="center" shrinkToFit="0" vertical="center" wrapText="1"/>
    </xf>
    <xf borderId="7" fillId="8" fontId="6" numFmtId="0" xfId="0" applyAlignment="1" applyBorder="1" applyFont="1">
      <alignment horizontal="center" shrinkToFit="0" vertical="center" wrapText="1"/>
    </xf>
    <xf quotePrefix="1" borderId="7" fillId="7" fontId="6" numFmtId="0" xfId="0" applyAlignment="1" applyBorder="1" applyFont="1">
      <alignment horizontal="center" vertical="center"/>
    </xf>
    <xf borderId="7" fillId="6" fontId="8" numFmtId="49" xfId="0" applyAlignment="1" applyBorder="1" applyFont="1" applyNumberFormat="1">
      <alignment horizontal="center" shrinkToFit="0" vertical="center" wrapText="1"/>
    </xf>
    <xf quotePrefix="1" borderId="7" fillId="0" fontId="6" numFmtId="0" xfId="0" applyAlignment="1" applyBorder="1" applyFont="1">
      <alignment horizontal="center" vertical="center"/>
    </xf>
    <xf borderId="24" fillId="0" fontId="8" numFmtId="49" xfId="0" applyAlignment="1" applyBorder="1" applyFont="1" applyNumberForma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  <xf borderId="7" fillId="0" fontId="6" numFmtId="49" xfId="0" applyAlignment="1" applyBorder="1" applyFont="1" applyNumberFormat="1">
      <alignment horizontal="center" vertical="center"/>
    </xf>
    <xf borderId="7" fillId="0" fontId="6" numFmtId="164" xfId="0" applyAlignment="1" applyBorder="1" applyFont="1" applyNumberFormat="1">
      <alignment horizontal="center" shrinkToFit="0" vertical="center" wrapText="1"/>
    </xf>
    <xf borderId="7" fillId="9" fontId="8" numFmtId="49" xfId="0" applyAlignment="1" applyBorder="1" applyFill="1" applyFont="1" applyNumberFormat="1">
      <alignment horizontal="center" shrinkToFit="0" vertical="center" wrapText="1"/>
    </xf>
    <xf borderId="22" fillId="7" fontId="3" numFmtId="0" xfId="0" applyBorder="1" applyFont="1"/>
    <xf borderId="7" fillId="7" fontId="3" numFmtId="0" xfId="0" applyBorder="1" applyFont="1"/>
    <xf borderId="23" fillId="7" fontId="3" numFmtId="0" xfId="0" applyBorder="1" applyFont="1"/>
    <xf borderId="7" fillId="4" fontId="8" numFmtId="49" xfId="0" applyAlignment="1" applyBorder="1" applyFont="1" applyNumberFormat="1">
      <alignment horizontal="center" shrinkToFit="0" vertical="center" wrapText="1"/>
    </xf>
    <xf borderId="27" fillId="0" fontId="2" numFmtId="0" xfId="0" applyBorder="1" applyFont="1"/>
    <xf borderId="28" fillId="7" fontId="8" numFmtId="49" xfId="0" applyAlignment="1" applyBorder="1" applyFont="1" applyNumberFormat="1">
      <alignment horizontal="center" shrinkToFit="0" vertical="center" wrapText="1"/>
    </xf>
    <xf borderId="29" fillId="9" fontId="8" numFmtId="49" xfId="0" applyAlignment="1" applyBorder="1" applyFont="1" applyNumberFormat="1">
      <alignment horizontal="center" shrinkToFit="0" vertical="center" wrapText="1"/>
    </xf>
    <xf borderId="28" fillId="4" fontId="8" numFmtId="49" xfId="0" applyAlignment="1" applyBorder="1" applyFont="1" applyNumberFormat="1">
      <alignment horizontal="center" shrinkToFit="0" vertical="center" wrapText="1"/>
    </xf>
    <xf borderId="29" fillId="4" fontId="8" numFmtId="49" xfId="0" applyAlignment="1" applyBorder="1" applyFont="1" applyNumberFormat="1">
      <alignment horizontal="center" shrinkToFit="0" vertical="center" wrapText="1"/>
    </xf>
    <xf borderId="26" fillId="0" fontId="8" numFmtId="49" xfId="0" applyAlignment="1" applyBorder="1" applyFont="1" applyNumberFormat="1">
      <alignment horizontal="center" shrinkToFit="0" vertical="center" wrapText="1"/>
    </xf>
    <xf borderId="24" fillId="10" fontId="8" numFmtId="49" xfId="0" applyAlignment="1" applyBorder="1" applyFill="1" applyFont="1" applyNumberFormat="1">
      <alignment horizontal="center" shrinkToFit="0" vertical="center" wrapText="1"/>
    </xf>
    <xf borderId="30" fillId="7" fontId="8" numFmtId="49" xfId="0" applyAlignment="1" applyBorder="1" applyFont="1" applyNumberFormat="1">
      <alignment horizontal="center" shrinkToFit="0" vertical="center" wrapText="1"/>
    </xf>
    <xf borderId="24" fillId="9" fontId="8" numFmtId="49" xfId="0" applyAlignment="1" applyBorder="1" applyFont="1" applyNumberFormat="1">
      <alignment horizontal="center" shrinkToFit="0" vertical="center" wrapText="1"/>
    </xf>
    <xf borderId="7" fillId="0" fontId="7" numFmtId="49" xfId="0" applyAlignment="1" applyBorder="1" applyFont="1" applyNumberFormat="1">
      <alignment horizontal="center" shrinkToFit="0" vertical="center" wrapText="1"/>
    </xf>
    <xf borderId="7" fillId="3" fontId="7" numFmtId="49" xfId="0" applyAlignment="1" applyBorder="1" applyFont="1" applyNumberFormat="1">
      <alignment horizontal="center" shrinkToFit="0" vertical="center" wrapText="1"/>
    </xf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24" fillId="7" fontId="7" numFmtId="49" xfId="0" applyAlignment="1" applyBorder="1" applyFont="1" applyNumberFormat="1">
      <alignment horizontal="center" shrinkToFit="0" vertical="center" wrapText="1"/>
    </xf>
    <xf borderId="7" fillId="4" fontId="7" numFmtId="49" xfId="0" applyAlignment="1" applyBorder="1" applyFont="1" applyNumberFormat="1">
      <alignment horizontal="center" shrinkToFit="0" vertical="center" wrapText="1"/>
    </xf>
    <xf borderId="34" fillId="7" fontId="3" numFmtId="0" xfId="0" applyBorder="1" applyFont="1"/>
    <xf borderId="24" fillId="0" fontId="7" numFmtId="49" xfId="0" applyAlignment="1" applyBorder="1" applyFont="1" applyNumberFormat="1">
      <alignment horizontal="center" shrinkToFit="0" vertical="center" wrapText="1"/>
    </xf>
    <xf borderId="7" fillId="7" fontId="7" numFmtId="49" xfId="0" applyAlignment="1" applyBorder="1" applyFont="1" applyNumberFormat="1">
      <alignment horizontal="center" shrinkToFit="0" vertical="center" wrapText="1"/>
    </xf>
    <xf borderId="0" fillId="0" fontId="9" numFmtId="0" xfId="0" applyFont="1"/>
    <xf borderId="35" fillId="4" fontId="10" numFmtId="0" xfId="0" applyAlignment="1" applyBorder="1" applyFont="1">
      <alignment horizontal="center" vertical="center"/>
    </xf>
    <xf borderId="36" fillId="0" fontId="2" numFmtId="0" xfId="0" applyBorder="1" applyFont="1"/>
    <xf borderId="37" fillId="0" fontId="2" numFmtId="0" xfId="0" applyBorder="1" applyFont="1"/>
    <xf borderId="1" fillId="5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9" fillId="0" fontId="7" numFmtId="49" xfId="0" applyAlignment="1" applyBorder="1" applyFont="1" applyNumberFormat="1">
      <alignment horizontal="center" shrinkToFit="0" vertical="center" wrapText="1"/>
    </xf>
    <xf borderId="11" fillId="0" fontId="7" numFmtId="49" xfId="0" applyAlignment="1" applyBorder="1" applyFont="1" applyNumberFormat="1">
      <alignment horizontal="center" shrinkToFit="0" vertical="center" wrapText="1"/>
    </xf>
    <xf borderId="1" fillId="0" fontId="7" numFmtId="49" xfId="0" applyAlignment="1" applyBorder="1" applyFont="1" applyNumberFormat="1">
      <alignment horizontal="center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38" fillId="0" fontId="2" numFmtId="0" xfId="0" applyBorder="1" applyFont="1"/>
    <xf borderId="23" fillId="5" fontId="6" numFmtId="0" xfId="0" applyAlignment="1" applyBorder="1" applyFont="1">
      <alignment horizontal="center" vertical="center"/>
    </xf>
    <xf borderId="7" fillId="11" fontId="6" numFmtId="49" xfId="0" applyAlignment="1" applyBorder="1" applyFill="1" applyFont="1" applyNumberFormat="1">
      <alignment horizontal="center" vertical="center"/>
    </xf>
    <xf borderId="7" fillId="0" fontId="6" numFmtId="3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1" fillId="0" fontId="6" numFmtId="3" xfId="0" applyAlignment="1" applyBorder="1" applyFont="1" applyNumberFormat="1">
      <alignment horizontal="center" vertical="center"/>
    </xf>
    <xf borderId="22" fillId="0" fontId="3" numFmtId="165" xfId="0" applyAlignment="1" applyBorder="1" applyFont="1" applyNumberFormat="1">
      <alignment readingOrder="0"/>
    </xf>
    <xf borderId="1" fillId="11" fontId="6" numFmtId="49" xfId="0" applyAlignment="1" applyBorder="1" applyFont="1" applyNumberFormat="1">
      <alignment horizontal="center" vertical="center"/>
    </xf>
    <xf quotePrefix="1" borderId="7" fillId="11" fontId="6" numFmtId="0" xfId="0" applyAlignment="1" applyBorder="1" applyFont="1">
      <alignment horizontal="center" shrinkToFit="0" vertical="center" wrapText="1"/>
    </xf>
    <xf borderId="7" fillId="11" fontId="6" numFmtId="0" xfId="0" applyAlignment="1" applyBorder="1" applyFont="1">
      <alignment horizontal="center" shrinkToFit="0" vertical="center" wrapText="1"/>
    </xf>
    <xf borderId="24" fillId="0" fontId="6" numFmtId="0" xfId="0" applyAlignment="1" applyBorder="1" applyFont="1">
      <alignment horizontal="center" textRotation="45" vertical="center"/>
    </xf>
    <xf borderId="7" fillId="12" fontId="6" numFmtId="0" xfId="0" applyAlignment="1" applyBorder="1" applyFill="1" applyFont="1">
      <alignment horizontal="center" shrinkToFit="0" vertical="center" wrapText="1"/>
    </xf>
    <xf borderId="7" fillId="0" fontId="6" numFmtId="164" xfId="0" applyAlignment="1" applyBorder="1" applyFont="1" applyNumberFormat="1">
      <alignment horizontal="center" vertical="center"/>
    </xf>
    <xf borderId="24" fillId="0" fontId="6" numFmtId="0" xfId="0" applyAlignment="1" applyBorder="1" applyFont="1">
      <alignment horizontal="center" vertical="center"/>
    </xf>
    <xf borderId="39" fillId="4" fontId="3" numFmtId="0" xfId="0" applyBorder="1" applyFont="1"/>
    <xf borderId="40" fillId="4" fontId="3" numFmtId="0" xfId="0" applyBorder="1" applyFont="1"/>
    <xf borderId="41" fillId="4" fontId="3" numFmtId="0" xfId="0" applyBorder="1" applyFont="1"/>
    <xf borderId="7" fillId="5" fontId="7" numFmtId="0" xfId="0" applyAlignment="1" applyBorder="1" applyFont="1">
      <alignment horizontal="center" shrinkToFit="0" vertical="center" wrapText="1"/>
    </xf>
    <xf borderId="30" fillId="5" fontId="7" numFmtId="0" xfId="0" applyAlignment="1" applyBorder="1" applyFont="1">
      <alignment horizontal="center" shrinkToFit="0" vertical="center" wrapText="1"/>
    </xf>
    <xf borderId="30" fillId="5" fontId="7" numFmtId="49" xfId="0" applyAlignment="1" applyBorder="1" applyFont="1" applyNumberFormat="1">
      <alignment horizontal="center" shrinkToFit="0" vertical="center" wrapText="1"/>
    </xf>
    <xf borderId="7" fillId="5" fontId="7" numFmtId="164" xfId="0" applyAlignment="1" applyBorder="1" applyFont="1" applyNumberFormat="1">
      <alignment horizontal="center" shrinkToFit="0" vertical="center" wrapText="1"/>
    </xf>
    <xf borderId="21" fillId="5" fontId="7" numFmtId="0" xfId="0" applyAlignment="1" applyBorder="1" applyFont="1">
      <alignment horizontal="center" shrinkToFit="0" vertical="center" wrapText="1"/>
    </xf>
    <xf borderId="24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7" fillId="0" fontId="7" numFmtId="1" xfId="0" applyAlignment="1" applyBorder="1" applyFont="1" applyNumberFormat="1">
      <alignment horizontal="center" vertical="center"/>
    </xf>
    <xf borderId="7" fillId="0" fontId="7" numFmtId="3" xfId="0" applyAlignment="1" applyBorder="1" applyFont="1" applyNumberFormat="1">
      <alignment horizontal="center" vertical="center"/>
    </xf>
    <xf borderId="1" fillId="0" fontId="7" numFmtId="3" xfId="0" applyAlignment="1" applyBorder="1" applyFont="1" applyNumberFormat="1">
      <alignment horizontal="center" vertical="center"/>
    </xf>
    <xf borderId="3" fillId="0" fontId="7" numFmtId="1" xfId="0" applyAlignment="1" applyBorder="1" applyFont="1" applyNumberFormat="1">
      <alignment horizontal="center" vertical="center"/>
    </xf>
    <xf borderId="26" fillId="0" fontId="7" numFmtId="0" xfId="0" applyAlignment="1" applyBorder="1" applyFont="1">
      <alignment horizontal="center" shrinkToFit="0" vertical="center" wrapText="1"/>
    </xf>
    <xf borderId="26" fillId="0" fontId="7" numFmtId="49" xfId="0" applyAlignment="1" applyBorder="1" applyFont="1" applyNumberFormat="1">
      <alignment horizontal="center" shrinkToFit="0" vertical="center" wrapText="1"/>
    </xf>
    <xf borderId="2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textRotation="45" vertical="center" wrapText="1"/>
    </xf>
    <xf borderId="24" fillId="0" fontId="7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center" shrinkToFit="0" textRotation="45" vertical="center" wrapText="1"/>
    </xf>
    <xf borderId="7" fillId="0" fontId="12" numFmtId="0" xfId="0" applyAlignment="1" applyBorder="1" applyFont="1">
      <alignment horizontal="center" shrinkToFit="0" vertical="center" wrapText="1"/>
    </xf>
    <xf borderId="15" fillId="4" fontId="11" numFmtId="0" xfId="0" applyAlignment="1" applyBorder="1" applyFont="1">
      <alignment horizontal="center" vertical="center"/>
    </xf>
    <xf borderId="42" fillId="0" fontId="2" numFmtId="0" xfId="0" applyBorder="1" applyFont="1"/>
    <xf borderId="7" fillId="5" fontId="13" numFmtId="0" xfId="0" applyAlignment="1" applyBorder="1" applyFont="1">
      <alignment horizontal="center" shrinkToFit="0" vertical="center" wrapText="1"/>
    </xf>
    <xf borderId="7" fillId="5" fontId="13" numFmtId="164" xfId="0" applyAlignment="1" applyBorder="1" applyFont="1" applyNumberFormat="1">
      <alignment horizontal="center" shrinkToFit="0" vertical="center" wrapText="1"/>
    </xf>
    <xf borderId="24" fillId="0" fontId="13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vertical="center"/>
    </xf>
    <xf borderId="7" fillId="0" fontId="14" numFmtId="3" xfId="0" applyAlignment="1" applyBorder="1" applyFont="1" applyNumberFormat="1">
      <alignment horizontal="center" vertical="center"/>
    </xf>
    <xf borderId="7" fillId="0" fontId="13" numFmtId="0" xfId="0" applyAlignment="1" applyBorder="1" applyFont="1">
      <alignment horizontal="center" vertical="center"/>
    </xf>
    <xf borderId="7" fillId="0" fontId="14" numFmtId="164" xfId="0" applyAlignment="1" applyBorder="1" applyFont="1" applyNumberFormat="1">
      <alignment horizontal="center" vertical="center"/>
    </xf>
    <xf borderId="7" fillId="0" fontId="14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7" fillId="5" fontId="13" numFmtId="49" xfId="0" applyAlignment="1" applyBorder="1" applyFont="1" applyNumberFormat="1">
      <alignment horizontal="center" shrinkToFit="0" vertical="center" wrapText="1"/>
    </xf>
    <xf borderId="7" fillId="0" fontId="14" numFmtId="164" xfId="0" applyAlignment="1" applyBorder="1" applyFont="1" applyNumberFormat="1">
      <alignment horizontal="center" shrinkToFit="0" vertical="center" wrapText="1"/>
    </xf>
    <xf borderId="7" fillId="0" fontId="14" numFmtId="3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24" fillId="0" fontId="14" numFmtId="0" xfId="0" applyAlignment="1" applyBorder="1" applyFont="1">
      <alignment horizontal="center" shrinkToFit="0" vertical="center" wrapText="1"/>
    </xf>
    <xf borderId="7" fillId="5" fontId="16" numFmtId="0" xfId="0" applyAlignment="1" applyBorder="1" applyFont="1">
      <alignment horizontal="center" shrinkToFit="0" vertical="center" wrapText="1"/>
    </xf>
    <xf borderId="7" fillId="5" fontId="16" numFmtId="164" xfId="0" applyAlignment="1" applyBorder="1" applyFont="1" applyNumberFormat="1">
      <alignment horizontal="center" shrinkToFit="0" vertical="center" wrapText="1"/>
    </xf>
    <xf borderId="7" fillId="6" fontId="6" numFmtId="0" xfId="0" applyAlignment="1" applyBorder="1" applyFont="1">
      <alignment horizontal="center" vertical="center"/>
    </xf>
    <xf borderId="7" fillId="6" fontId="6" numFmtId="164" xfId="0" applyAlignment="1" applyBorder="1" applyFont="1" applyNumberFormat="1">
      <alignment horizontal="center" vertical="center"/>
    </xf>
    <xf borderId="24" fillId="0" fontId="6" numFmtId="164" xfId="0" applyAlignment="1" applyBorder="1" applyFont="1" applyNumberFormat="1">
      <alignment horizontal="center" vertical="center"/>
    </xf>
    <xf borderId="25" fillId="0" fontId="6" numFmtId="0" xfId="0" applyAlignment="1" applyBorder="1" applyFont="1">
      <alignment horizontal="center" shrinkToFit="0" vertical="center" wrapText="1"/>
    </xf>
    <xf borderId="29" fillId="6" fontId="6" numFmtId="0" xfId="0" applyAlignment="1" applyBorder="1" applyFont="1">
      <alignment horizontal="center" shrinkToFit="0" vertical="center" wrapText="1"/>
    </xf>
    <xf borderId="29" fillId="6" fontId="6" numFmtId="0" xfId="0" applyAlignment="1" applyBorder="1" applyFont="1">
      <alignment horizontal="center" vertical="center"/>
    </xf>
    <xf borderId="29" fillId="6" fontId="6" numFmtId="164" xfId="0" applyAlignment="1" applyBorder="1" applyFont="1" applyNumberFormat="1">
      <alignment horizontal="center" vertical="center"/>
    </xf>
    <xf borderId="1" fillId="4" fontId="10" numFmtId="0" xfId="0" applyAlignment="1" applyBorder="1" applyFont="1">
      <alignment horizontal="center" vertical="center"/>
    </xf>
    <xf borderId="7" fillId="5" fontId="7" numFmtId="49" xfId="0" applyAlignment="1" applyBorder="1" applyFont="1" applyNumberFormat="1">
      <alignment horizontal="center" shrinkToFit="0" vertical="center" wrapText="1"/>
    </xf>
    <xf borderId="7" fillId="0" fontId="7" numFmtId="1" xfId="0" applyAlignment="1" applyBorder="1" applyFont="1" applyNumberFormat="1">
      <alignment horizontal="center" shrinkToFit="0" vertical="center" wrapText="1"/>
    </xf>
    <xf borderId="7" fillId="0" fontId="7" numFmtId="3" xfId="0" applyAlignment="1" applyBorder="1" applyFont="1" applyNumberFormat="1">
      <alignment horizontal="center" shrinkToFit="0" vertical="center" wrapText="1"/>
    </xf>
    <xf borderId="7" fillId="6" fontId="7" numFmtId="0" xfId="0" applyAlignment="1" applyBorder="1" applyFont="1">
      <alignment horizontal="center" shrinkToFit="0" vertical="center" wrapText="1"/>
    </xf>
    <xf borderId="7" fillId="6" fontId="7" numFmtId="49" xfId="0" applyAlignment="1" applyBorder="1" applyFont="1" applyNumberFormat="1">
      <alignment horizontal="center" shrinkToFit="0" vertical="center" wrapText="1"/>
    </xf>
    <xf borderId="7" fillId="12" fontId="7" numFmtId="0" xfId="0" applyAlignment="1" applyBorder="1" applyFont="1">
      <alignment horizontal="center" shrinkToFit="0" vertical="center" wrapText="1"/>
    </xf>
    <xf borderId="7" fillId="6" fontId="7" numFmtId="1" xfId="0" applyAlignment="1" applyBorder="1" applyFont="1" applyNumberFormat="1">
      <alignment horizontal="center" shrinkToFit="0" vertical="center" wrapText="1"/>
    </xf>
    <xf borderId="15" fillId="4" fontId="17" numFmtId="0" xfId="0" applyAlignment="1" applyBorder="1" applyFont="1">
      <alignment horizontal="center" vertical="center"/>
    </xf>
    <xf borderId="43" fillId="0" fontId="2" numFmtId="0" xfId="0" applyBorder="1" applyFont="1"/>
    <xf borderId="7" fillId="0" fontId="13" numFmtId="3" xfId="0" applyAlignment="1" applyBorder="1" applyFont="1" applyNumberFormat="1">
      <alignment horizontal="center" vertical="center"/>
    </xf>
    <xf borderId="7" fillId="0" fontId="13" numFmtId="164" xfId="0" applyAlignment="1" applyBorder="1" applyFont="1" applyNumberFormat="1">
      <alignment horizontal="center" vertical="center"/>
    </xf>
    <xf borderId="15" fillId="4" fontId="18" numFmtId="0" xfId="0" applyAlignment="1" applyBorder="1" applyFont="1">
      <alignment horizontal="center" vertical="center"/>
    </xf>
    <xf borderId="7" fillId="6" fontId="14" numFmtId="0" xfId="0" applyAlignment="1" applyBorder="1" applyFont="1">
      <alignment horizontal="center" vertical="center"/>
    </xf>
    <xf borderId="7" fillId="6" fontId="19" numFmtId="0" xfId="0" applyAlignment="1" applyBorder="1" applyFont="1">
      <alignment horizontal="center" vertical="center"/>
    </xf>
    <xf borderId="7" fillId="0" fontId="19" numFmtId="164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vertical="center"/>
    </xf>
  </cellXfs>
  <cellStyles count="1">
    <cellStyle xfId="0" name="Normal" builtinId="0"/>
  </cellStyles>
  <dxfs count="11">
    <dxf>
      <font/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>
        <b/>
      </font>
      <fill>
        <patternFill patternType="solid">
          <fgColor theme="7"/>
          <bgColor theme="7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5.43"/>
    <col customWidth="1" min="16" max="26" width="8.71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5"/>
      <c r="R1" s="5"/>
      <c r="S1" s="5"/>
      <c r="T1" s="5"/>
      <c r="U1" s="5"/>
      <c r="V1" s="5"/>
      <c r="W1" s="5"/>
      <c r="X1" s="5"/>
      <c r="Y1" s="5"/>
    </row>
    <row r="2" ht="18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8.0" customHeight="1">
      <c r="A3" s="5"/>
      <c r="B3" s="5"/>
      <c r="C3" s="6"/>
      <c r="D3" s="6"/>
      <c r="E3" s="5"/>
      <c r="F3" s="5"/>
      <c r="G3" s="5"/>
      <c r="H3" s="6"/>
      <c r="I3" s="6"/>
      <c r="J3" s="5"/>
      <c r="K3" s="6"/>
      <c r="L3" s="6"/>
      <c r="M3" s="5"/>
      <c r="N3" s="6"/>
      <c r="O3" s="6"/>
      <c r="P3" s="5"/>
      <c r="Q3" s="5"/>
      <c r="R3" s="5"/>
      <c r="S3" s="5"/>
      <c r="T3" s="5"/>
      <c r="U3" s="5"/>
      <c r="V3" s="5"/>
      <c r="W3" s="5"/>
      <c r="X3" s="5"/>
      <c r="Y3" s="5"/>
    </row>
    <row r="4" ht="18.0" customHeight="1">
      <c r="A4" s="5"/>
      <c r="B4" s="5"/>
      <c r="C4" s="7" t="s">
        <v>1</v>
      </c>
      <c r="D4" s="3"/>
      <c r="E4" s="8"/>
      <c r="F4" s="7" t="s">
        <v>2</v>
      </c>
      <c r="G4" s="3"/>
      <c r="H4" s="9"/>
      <c r="I4" s="7" t="s">
        <v>3</v>
      </c>
      <c r="J4" s="3"/>
      <c r="K4" s="9"/>
      <c r="L4" s="7" t="s">
        <v>4</v>
      </c>
      <c r="M4" s="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8.0" customHeight="1">
      <c r="A5" s="5"/>
      <c r="B5" s="5"/>
      <c r="C5" s="10" t="s">
        <v>5</v>
      </c>
      <c r="D5" s="11">
        <v>13697.0</v>
      </c>
      <c r="E5" s="8"/>
      <c r="F5" s="10" t="s">
        <v>6</v>
      </c>
      <c r="G5" s="12">
        <v>28359.0</v>
      </c>
      <c r="H5" s="9"/>
      <c r="I5" s="10" t="s">
        <v>6</v>
      </c>
      <c r="J5" s="12">
        <v>6544.0</v>
      </c>
      <c r="K5" s="9"/>
      <c r="L5" s="10" t="s">
        <v>7</v>
      </c>
      <c r="M5" s="12">
        <v>37757.0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8.0" customHeight="1">
      <c r="A6" s="5"/>
      <c r="B6" s="5"/>
      <c r="C6" s="10" t="s">
        <v>8</v>
      </c>
      <c r="D6" s="11">
        <v>13742.0</v>
      </c>
      <c r="E6" s="8"/>
      <c r="F6" s="10" t="s">
        <v>9</v>
      </c>
      <c r="G6" s="12">
        <v>29646.0</v>
      </c>
      <c r="H6" s="9"/>
      <c r="I6" s="10" t="s">
        <v>9</v>
      </c>
      <c r="J6" s="12">
        <v>6727.0</v>
      </c>
      <c r="K6" s="9"/>
      <c r="L6" s="10" t="s">
        <v>10</v>
      </c>
      <c r="M6" s="12">
        <v>44333.0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8.0" customHeight="1">
      <c r="A7" s="5"/>
      <c r="B7" s="5"/>
      <c r="C7" s="13"/>
      <c r="D7" s="13"/>
      <c r="E7" s="9"/>
      <c r="F7" s="10" t="s">
        <v>11</v>
      </c>
      <c r="G7" s="12">
        <v>10727.0</v>
      </c>
      <c r="H7" s="9"/>
      <c r="I7" s="10" t="s">
        <v>11</v>
      </c>
      <c r="J7" s="12">
        <v>6673.0</v>
      </c>
      <c r="K7" s="9"/>
      <c r="L7" s="10" t="s">
        <v>12</v>
      </c>
      <c r="M7" s="12">
        <v>25737.0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8.0" customHeight="1">
      <c r="A8" s="5"/>
      <c r="B8" s="5"/>
      <c r="C8" s="9"/>
      <c r="D8" s="9"/>
      <c r="E8" s="9"/>
      <c r="F8" s="10" t="s">
        <v>13</v>
      </c>
      <c r="G8" s="12">
        <v>29012.0</v>
      </c>
      <c r="H8" s="9"/>
      <c r="I8" s="10" t="s">
        <v>13</v>
      </c>
      <c r="J8" s="12">
        <v>6545.0</v>
      </c>
      <c r="K8" s="9"/>
      <c r="L8" s="10" t="s">
        <v>14</v>
      </c>
      <c r="M8" s="12">
        <v>26588.0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8.0" customHeight="1">
      <c r="A9" s="5"/>
      <c r="B9" s="5"/>
      <c r="C9" s="5"/>
      <c r="D9" s="5"/>
      <c r="E9" s="5"/>
      <c r="F9" s="5"/>
      <c r="G9" s="5"/>
      <c r="H9" s="5"/>
      <c r="I9" s="14"/>
      <c r="J9" s="5"/>
      <c r="K9" s="14"/>
      <c r="L9" s="14"/>
      <c r="M9" s="5"/>
      <c r="N9" s="14"/>
      <c r="O9" s="14"/>
      <c r="P9" s="5"/>
      <c r="Q9" s="5"/>
      <c r="R9" s="5"/>
      <c r="S9" s="5"/>
      <c r="T9" s="5"/>
      <c r="U9" s="5"/>
      <c r="V9" s="5"/>
      <c r="W9" s="5"/>
      <c r="X9" s="5"/>
      <c r="Y9" s="5"/>
    </row>
    <row r="10" ht="18.0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30.75" customHeight="1">
      <c r="A11" s="1" t="s">
        <v>15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4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7"/>
    </row>
    <row r="13" ht="15.75" customHeight="1">
      <c r="A13" s="18"/>
      <c r="B13" s="18"/>
      <c r="C13" s="18"/>
      <c r="D13" s="18"/>
      <c r="E13" s="16"/>
      <c r="F13" s="16"/>
      <c r="G13" s="16"/>
      <c r="H13" s="16"/>
      <c r="I13" s="16"/>
      <c r="J13" s="18"/>
      <c r="K13" s="18"/>
      <c r="L13" s="18"/>
      <c r="M13" s="18"/>
      <c r="N13" s="18"/>
      <c r="O13" s="18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7"/>
    </row>
    <row r="14" ht="33.0" customHeight="1">
      <c r="A14" s="16"/>
      <c r="B14" s="19" t="s">
        <v>16</v>
      </c>
      <c r="C14" s="2"/>
      <c r="D14" s="2"/>
      <c r="E14" s="3"/>
      <c r="F14" s="20"/>
      <c r="G14" s="20"/>
      <c r="H14" s="20"/>
      <c r="I14" s="20"/>
      <c r="J14" s="19" t="s">
        <v>17</v>
      </c>
      <c r="K14" s="2"/>
      <c r="L14" s="2"/>
      <c r="M14" s="2"/>
      <c r="N14" s="3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7"/>
    </row>
    <row r="15" ht="33.0" customHeight="1">
      <c r="A15" s="16"/>
      <c r="B15" s="21" t="s">
        <v>18</v>
      </c>
      <c r="C15" s="21" t="s">
        <v>19</v>
      </c>
      <c r="D15" s="21" t="s">
        <v>20</v>
      </c>
      <c r="E15" s="21" t="s">
        <v>21</v>
      </c>
      <c r="F15" s="20"/>
      <c r="G15" s="20"/>
      <c r="H15" s="20"/>
      <c r="I15" s="20"/>
      <c r="J15" s="22" t="s">
        <v>18</v>
      </c>
      <c r="K15" s="3"/>
      <c r="L15" s="21" t="s">
        <v>19</v>
      </c>
      <c r="M15" s="21" t="s">
        <v>20</v>
      </c>
      <c r="N15" s="21" t="s">
        <v>21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7"/>
    </row>
    <row r="16" ht="33.0" customHeight="1">
      <c r="A16" s="16"/>
      <c r="B16" s="21" t="s">
        <v>22</v>
      </c>
      <c r="C16" s="21">
        <v>4000.0</v>
      </c>
      <c r="D16" s="21">
        <f>VTIS!K4</f>
        <v>91103</v>
      </c>
      <c r="E16" s="21"/>
      <c r="F16" s="20"/>
      <c r="G16" s="20"/>
      <c r="H16" s="20"/>
      <c r="I16" s="20"/>
      <c r="J16" s="22" t="s">
        <v>23</v>
      </c>
      <c r="K16" s="3"/>
      <c r="L16" s="21">
        <v>500.0</v>
      </c>
      <c r="M16" s="23">
        <f>HOMOGEINIZADOR!K3</f>
        <v>438</v>
      </c>
      <c r="N16" s="21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</row>
    <row r="17" ht="33.0" customHeight="1">
      <c r="A17" s="16"/>
      <c r="B17" s="21" t="s">
        <v>24</v>
      </c>
      <c r="C17" s="21">
        <v>6000.0</v>
      </c>
      <c r="D17" s="21">
        <f>VTIS!K9</f>
        <v>93103</v>
      </c>
      <c r="E17" s="21"/>
      <c r="F17" s="20"/>
      <c r="G17" s="20"/>
      <c r="H17" s="20"/>
      <c r="I17" s="20"/>
      <c r="J17" s="22" t="s">
        <v>25</v>
      </c>
      <c r="K17" s="3"/>
      <c r="L17" s="21">
        <v>1500.0</v>
      </c>
      <c r="M17" s="23">
        <f>HOMOGEINIZADOR!K10</f>
        <v>1438</v>
      </c>
      <c r="N17" s="21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7"/>
    </row>
    <row r="18" ht="33.0" customHeight="1">
      <c r="A18" s="16"/>
      <c r="B18" s="21" t="s">
        <v>26</v>
      </c>
      <c r="C18" s="21">
        <v>6000.0</v>
      </c>
      <c r="D18" s="21">
        <f>VTIS!K13</f>
        <v>93103</v>
      </c>
      <c r="E18" s="21"/>
      <c r="F18" s="20"/>
      <c r="G18" s="20"/>
      <c r="H18" s="20"/>
      <c r="I18" s="20"/>
      <c r="J18" s="22" t="s">
        <v>27</v>
      </c>
      <c r="K18" s="3"/>
      <c r="L18" s="21">
        <v>8000.0</v>
      </c>
      <c r="M18" s="23">
        <f>HOMOGEINIZADOR!K29</f>
        <v>-5742</v>
      </c>
      <c r="N18" s="21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</row>
    <row r="19" ht="33.0" customHeight="1">
      <c r="A19" s="16"/>
      <c r="B19" s="21" t="s">
        <v>28</v>
      </c>
      <c r="C19" s="21">
        <v>6000.0</v>
      </c>
      <c r="D19" s="21"/>
      <c r="E19" s="21"/>
      <c r="F19" s="20"/>
      <c r="G19" s="20"/>
      <c r="H19" s="20"/>
      <c r="I19" s="20"/>
      <c r="J19" s="22" t="s">
        <v>29</v>
      </c>
      <c r="K19" s="3"/>
      <c r="L19" s="21">
        <v>1500.0</v>
      </c>
      <c r="M19" s="23">
        <f>HOMOGEINIZADOR!K13</f>
        <v>-12242</v>
      </c>
      <c r="N19" s="21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7"/>
    </row>
    <row r="20" ht="33.0" customHeight="1">
      <c r="A20" s="16"/>
      <c r="B20" s="21" t="s">
        <v>30</v>
      </c>
      <c r="C20" s="21">
        <v>6000.0</v>
      </c>
      <c r="D20" s="21"/>
      <c r="E20" s="21"/>
      <c r="F20" s="20"/>
      <c r="G20" s="20"/>
      <c r="H20" s="20"/>
      <c r="I20" s="20"/>
      <c r="J20" s="22" t="s">
        <v>31</v>
      </c>
      <c r="K20" s="3"/>
      <c r="L20" s="21">
        <v>3000.0</v>
      </c>
      <c r="M20" s="23">
        <f>HOMOGEINIZADOR!K15</f>
        <v>-10742</v>
      </c>
      <c r="N20" s="21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7"/>
    </row>
    <row r="21" ht="33.0" customHeight="1">
      <c r="A21" s="16"/>
      <c r="B21" s="21" t="s">
        <v>32</v>
      </c>
      <c r="C21" s="21">
        <v>6000.0</v>
      </c>
      <c r="D21" s="21"/>
      <c r="E21" s="21"/>
      <c r="F21" s="20"/>
      <c r="G21" s="20"/>
      <c r="H21" s="20"/>
      <c r="I21" s="20"/>
      <c r="J21" s="22" t="s">
        <v>33</v>
      </c>
      <c r="K21" s="3"/>
      <c r="L21" s="23">
        <v>8000.0</v>
      </c>
      <c r="M21" s="23">
        <f>HOMOGEINIZADOR!K26</f>
        <v>-5742</v>
      </c>
      <c r="N21" s="21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7"/>
    </row>
    <row r="22" ht="33.0" customHeight="1">
      <c r="A22" s="16"/>
      <c r="B22" s="21" t="s">
        <v>34</v>
      </c>
      <c r="C22" s="21">
        <v>6000.0</v>
      </c>
      <c r="D22" s="21"/>
      <c r="E22" s="21"/>
      <c r="F22" s="20"/>
      <c r="G22" s="20"/>
      <c r="H22" s="20"/>
      <c r="I22" s="20"/>
      <c r="J22" s="20"/>
      <c r="K22" s="20"/>
      <c r="L22" s="20"/>
      <c r="M22" s="20"/>
      <c r="N22" s="20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7"/>
    </row>
    <row r="23" ht="33.0" customHeight="1">
      <c r="A23" s="16"/>
      <c r="B23" s="21" t="s">
        <v>35</v>
      </c>
      <c r="C23" s="21">
        <v>6000.0</v>
      </c>
      <c r="D23" s="21">
        <f>VTIS!K31</f>
        <v>93103</v>
      </c>
      <c r="E23" s="21"/>
      <c r="F23" s="20"/>
      <c r="G23" s="20"/>
      <c r="H23" s="20"/>
      <c r="I23" s="20"/>
      <c r="J23" s="20"/>
      <c r="K23" s="20"/>
      <c r="L23" s="20"/>
      <c r="M23" s="20"/>
      <c r="N23" s="20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7"/>
    </row>
    <row r="24" ht="12.75" customHeight="1">
      <c r="A24" s="16"/>
      <c r="B24" s="15"/>
      <c r="C24" s="15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7"/>
    </row>
    <row r="25" ht="12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7"/>
    </row>
    <row r="26" ht="12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7"/>
    </row>
    <row r="27" ht="30.75" customHeight="1">
      <c r="A27" s="1" t="s">
        <v>36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6"/>
      <c r="B28" s="6"/>
      <c r="C28" s="6"/>
      <c r="D28" s="6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0" customHeight="1">
      <c r="A29" s="5"/>
      <c r="B29" s="5"/>
      <c r="C29" s="19" t="s">
        <v>37</v>
      </c>
      <c r="D29" s="2"/>
      <c r="E29" s="2"/>
      <c r="F29" s="2"/>
      <c r="G29" s="3"/>
      <c r="H29" s="5"/>
      <c r="I29" s="19" t="s">
        <v>38</v>
      </c>
      <c r="J29" s="2"/>
      <c r="K29" s="2"/>
      <c r="L29" s="2"/>
      <c r="M29" s="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7.75" customHeight="1">
      <c r="A30" s="5"/>
      <c r="B30" s="5"/>
      <c r="C30" s="24" t="s">
        <v>18</v>
      </c>
      <c r="D30" s="25"/>
      <c r="E30" s="21" t="s">
        <v>19</v>
      </c>
      <c r="F30" s="21" t="s">
        <v>20</v>
      </c>
      <c r="G30" s="21" t="s">
        <v>21</v>
      </c>
      <c r="H30" s="5"/>
      <c r="I30" s="24" t="s">
        <v>18</v>
      </c>
      <c r="J30" s="25"/>
      <c r="K30" s="21" t="s">
        <v>19</v>
      </c>
      <c r="L30" s="21" t="s">
        <v>20</v>
      </c>
      <c r="M30" s="21" t="s">
        <v>21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7.75" customHeight="1">
      <c r="A31" s="5"/>
      <c r="B31" s="5"/>
      <c r="C31" s="22" t="s">
        <v>39</v>
      </c>
      <c r="D31" s="3"/>
      <c r="E31" s="21">
        <v>2500.0</v>
      </c>
      <c r="F31" s="23" t="str">
        <f>'A3FLEX 01'!K3</f>
        <v>#REF!</v>
      </c>
      <c r="G31" s="21"/>
      <c r="H31" s="5"/>
      <c r="I31" s="22" t="s">
        <v>39</v>
      </c>
      <c r="J31" s="3"/>
      <c r="K31" s="21">
        <v>2500.0</v>
      </c>
      <c r="L31" s="23" t="str">
        <f>'A3FLEX 02'!K3</f>
        <v>#REF!</v>
      </c>
      <c r="M31" s="21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27.75" customHeight="1">
      <c r="A32" s="5"/>
      <c r="B32" s="5"/>
      <c r="C32" s="24" t="s">
        <v>40</v>
      </c>
      <c r="D32" s="25"/>
      <c r="E32" s="21">
        <v>2000.0</v>
      </c>
      <c r="F32" s="23">
        <f>'A3FLEX 01'!K14</f>
        <v>-1710</v>
      </c>
      <c r="G32" s="21"/>
      <c r="H32" s="5"/>
      <c r="I32" s="24" t="s">
        <v>40</v>
      </c>
      <c r="J32" s="25"/>
      <c r="K32" s="21">
        <v>2000.0</v>
      </c>
      <c r="L32" s="23">
        <f>'A3FLEX 02'!K14</f>
        <v>-4544</v>
      </c>
      <c r="M32" s="2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27.75" customHeight="1">
      <c r="A33" s="5"/>
      <c r="B33" s="5"/>
      <c r="C33" s="26"/>
      <c r="D33" s="27"/>
      <c r="E33" s="21">
        <v>3000.0</v>
      </c>
      <c r="F33" s="23">
        <f>'A3FLEX 01'!K16</f>
        <v>-710</v>
      </c>
      <c r="G33" s="21"/>
      <c r="H33" s="5"/>
      <c r="I33" s="26"/>
      <c r="J33" s="27"/>
      <c r="K33" s="21">
        <v>3000.0</v>
      </c>
      <c r="L33" s="23">
        <f>'A3FLEX 02'!K16</f>
        <v>-3544</v>
      </c>
      <c r="M33" s="2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27.75" customHeight="1">
      <c r="A34" s="5"/>
      <c r="B34" s="5"/>
      <c r="C34" s="22" t="s">
        <v>41</v>
      </c>
      <c r="D34" s="3"/>
      <c r="E34" s="21">
        <v>7000.0</v>
      </c>
      <c r="F34" s="23">
        <f>'A3FLEX 01'!K26</f>
        <v>3290</v>
      </c>
      <c r="G34" s="21"/>
      <c r="H34" s="5"/>
      <c r="I34" s="22" t="s">
        <v>41</v>
      </c>
      <c r="J34" s="3"/>
      <c r="K34" s="21">
        <v>7000.0</v>
      </c>
      <c r="L34" s="23">
        <f>'A3FLEX 02'!K26</f>
        <v>456</v>
      </c>
      <c r="M34" s="2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7.75" customHeight="1">
      <c r="A35" s="5"/>
      <c r="B35" s="5"/>
      <c r="C35" s="24" t="s">
        <v>42</v>
      </c>
      <c r="D35" s="25"/>
      <c r="E35" s="21">
        <v>6000.0</v>
      </c>
      <c r="F35" s="23">
        <f>'A3FLEX 01'!K36</f>
        <v>2290</v>
      </c>
      <c r="G35" s="21"/>
      <c r="H35" s="5"/>
      <c r="I35" s="24" t="s">
        <v>42</v>
      </c>
      <c r="J35" s="25"/>
      <c r="K35" s="21">
        <v>6000.0</v>
      </c>
      <c r="L35" s="23">
        <f>'A3FLEX 02'!K36</f>
        <v>-544</v>
      </c>
      <c r="M35" s="21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7.75" customHeight="1">
      <c r="A36" s="5"/>
      <c r="B36" s="5"/>
      <c r="C36" s="26"/>
      <c r="D36" s="27"/>
      <c r="E36" s="21">
        <v>12000.0</v>
      </c>
      <c r="F36" s="23">
        <f>'A3FLEX 01'!K39</f>
        <v>8290</v>
      </c>
      <c r="G36" s="21"/>
      <c r="H36" s="5"/>
      <c r="I36" s="26"/>
      <c r="J36" s="27"/>
      <c r="K36" s="21">
        <v>12000.0</v>
      </c>
      <c r="L36" s="23">
        <f>'A3FLEX 02'!K39</f>
        <v>5456</v>
      </c>
      <c r="M36" s="2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7.75" customHeight="1">
      <c r="A37" s="5"/>
      <c r="B37" s="5"/>
      <c r="C37" s="22" t="s">
        <v>43</v>
      </c>
      <c r="D37" s="3"/>
      <c r="E37" s="21">
        <v>5000.0</v>
      </c>
      <c r="F37" s="23">
        <f>'A3FLEX 01'!K41</f>
        <v>1290</v>
      </c>
      <c r="G37" s="21"/>
      <c r="H37" s="5"/>
      <c r="I37" s="22" t="s">
        <v>43</v>
      </c>
      <c r="J37" s="3"/>
      <c r="K37" s="21">
        <v>5000.0</v>
      </c>
      <c r="L37" s="23">
        <f>'A3FLEX 02'!K41</f>
        <v>-1544</v>
      </c>
      <c r="M37" s="2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7.75" customHeight="1">
      <c r="A38" s="5"/>
      <c r="B38" s="5"/>
      <c r="C38" s="24" t="s">
        <v>44</v>
      </c>
      <c r="D38" s="25"/>
      <c r="E38" s="21">
        <v>5000.0</v>
      </c>
      <c r="F38" s="23">
        <f>'A3FLEX 01'!K54</f>
        <v>1290</v>
      </c>
      <c r="G38" s="21"/>
      <c r="H38" s="5"/>
      <c r="I38" s="24" t="s">
        <v>44</v>
      </c>
      <c r="J38" s="25"/>
      <c r="K38" s="21">
        <v>5000.0</v>
      </c>
      <c r="L38" s="23">
        <f>'A3FLEX 02'!K54</f>
        <v>-1544</v>
      </c>
      <c r="M38" s="2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7.75" customHeight="1">
      <c r="A39" s="5"/>
      <c r="B39" s="5"/>
      <c r="C39" s="26"/>
      <c r="D39" s="27"/>
      <c r="E39" s="21">
        <v>10000.0</v>
      </c>
      <c r="F39" s="23">
        <f>'A3FLEX 01'!K56</f>
        <v>6290</v>
      </c>
      <c r="G39" s="21"/>
      <c r="H39" s="5"/>
      <c r="I39" s="26"/>
      <c r="J39" s="27"/>
      <c r="K39" s="21">
        <v>10000.0</v>
      </c>
      <c r="L39" s="23">
        <f>'A3FLEX 02'!K56</f>
        <v>3456</v>
      </c>
      <c r="M39" s="21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7.75" customHeight="1">
      <c r="A40" s="5"/>
      <c r="B40" s="5"/>
      <c r="C40" s="22" t="s">
        <v>45</v>
      </c>
      <c r="D40" s="3"/>
      <c r="E40" s="21">
        <v>1000.0</v>
      </c>
      <c r="F40" s="23">
        <f>'A3FLEX 01'!K59</f>
        <v>-2710</v>
      </c>
      <c r="G40" s="21"/>
      <c r="H40" s="5"/>
      <c r="I40" s="22" t="s">
        <v>45</v>
      </c>
      <c r="J40" s="3"/>
      <c r="K40" s="21">
        <v>1000.0</v>
      </c>
      <c r="L40" s="23">
        <f>'A3FLEX 02'!K59</f>
        <v>-4446</v>
      </c>
      <c r="M40" s="21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27.75" customHeight="1">
      <c r="A41" s="5"/>
      <c r="B41" s="5"/>
      <c r="C41" s="24" t="s">
        <v>46</v>
      </c>
      <c r="D41" s="25"/>
      <c r="E41" s="21">
        <v>1000.0</v>
      </c>
      <c r="F41" s="23">
        <f>'A3FLEX 01'!K63</f>
        <v>-2710</v>
      </c>
      <c r="G41" s="21"/>
      <c r="H41" s="5"/>
      <c r="I41" s="24" t="s">
        <v>46</v>
      </c>
      <c r="J41" s="25"/>
      <c r="K41" s="21">
        <v>1000.0</v>
      </c>
      <c r="L41" s="21" t="str">
        <f>'[1]A3 FLEX 01'!$K$63</f>
        <v>#REF!</v>
      </c>
      <c r="M41" s="21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27.75" customHeight="1">
      <c r="A42" s="5"/>
      <c r="B42" s="5"/>
      <c r="C42" s="26"/>
      <c r="D42" s="27"/>
      <c r="E42" s="21">
        <v>2000.0</v>
      </c>
      <c r="F42" s="23">
        <f>'A3FLEX 01'!K64</f>
        <v>-1710</v>
      </c>
      <c r="G42" s="21"/>
      <c r="H42" s="5"/>
      <c r="I42" s="26"/>
      <c r="J42" s="27"/>
      <c r="K42" s="21">
        <v>2000.0</v>
      </c>
      <c r="L42" s="23">
        <f>'A3FLEX 02'!K61</f>
        <v>-5544</v>
      </c>
      <c r="M42" s="21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27.75" customHeight="1">
      <c r="A43" s="5"/>
      <c r="B43" s="5"/>
      <c r="C43" s="22" t="s">
        <v>47</v>
      </c>
      <c r="D43" s="3"/>
      <c r="E43" s="21">
        <v>2000.0</v>
      </c>
      <c r="F43" s="23">
        <f>'A3FLEX 01'!K66</f>
        <v>-1710</v>
      </c>
      <c r="G43" s="21"/>
      <c r="H43" s="5"/>
      <c r="I43" s="22" t="s">
        <v>47</v>
      </c>
      <c r="J43" s="3"/>
      <c r="K43" s="21">
        <v>2000.0</v>
      </c>
      <c r="L43" s="23">
        <f>'A3FLEX 02'!K66</f>
        <v>-4544</v>
      </c>
      <c r="M43" s="21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7.75" customHeight="1">
      <c r="A44" s="5"/>
      <c r="B44" s="5"/>
      <c r="C44" s="22" t="s">
        <v>48</v>
      </c>
      <c r="D44" s="3"/>
      <c r="E44" s="21">
        <v>2000.0</v>
      </c>
      <c r="F44" s="23">
        <f>'A3FLEX 01'!K68</f>
        <v>-1710</v>
      </c>
      <c r="G44" s="21"/>
      <c r="H44" s="5"/>
      <c r="I44" s="22" t="s">
        <v>48</v>
      </c>
      <c r="J44" s="3"/>
      <c r="K44" s="21">
        <v>2000.0</v>
      </c>
      <c r="L44" s="23">
        <f>'A3FLEX 02'!K68</f>
        <v>-4544</v>
      </c>
      <c r="M44" s="21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27.75" customHeight="1">
      <c r="A45" s="5"/>
      <c r="B45" s="5"/>
      <c r="C45" s="22" t="s">
        <v>49</v>
      </c>
      <c r="D45" s="3"/>
      <c r="E45" s="21">
        <v>2000.0</v>
      </c>
      <c r="F45" s="23">
        <f>'A3FLEX 01'!K76</f>
        <v>-1710</v>
      </c>
      <c r="G45" s="21"/>
      <c r="H45" s="5"/>
      <c r="I45" s="22" t="s">
        <v>49</v>
      </c>
      <c r="J45" s="3"/>
      <c r="K45" s="21">
        <v>2000.0</v>
      </c>
      <c r="L45" s="23">
        <f>'A3FLEX 02'!K76</f>
        <v>-4544</v>
      </c>
      <c r="M45" s="21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27.75" customHeight="1">
      <c r="A46" s="5"/>
      <c r="B46" s="5"/>
      <c r="C46" s="22" t="s">
        <v>50</v>
      </c>
      <c r="D46" s="3"/>
      <c r="E46" s="21">
        <v>2000.0</v>
      </c>
      <c r="F46" s="21" t="str">
        <f>'[1]A3 FLEX 01'!$K$90</f>
        <v>#REF!</v>
      </c>
      <c r="G46" s="21"/>
      <c r="H46" s="5"/>
      <c r="I46" s="22" t="s">
        <v>50</v>
      </c>
      <c r="J46" s="3"/>
      <c r="K46" s="21">
        <v>2000.0</v>
      </c>
      <c r="L46" s="23">
        <f>'A3FLEX 02'!K90</f>
        <v>-4544</v>
      </c>
      <c r="M46" s="21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27.75" customHeight="1">
      <c r="A47" s="5"/>
      <c r="B47" s="5"/>
      <c r="C47" s="24" t="s">
        <v>51</v>
      </c>
      <c r="D47" s="25"/>
      <c r="E47" s="21">
        <v>2000.0</v>
      </c>
      <c r="F47" s="23">
        <f>'A3FLEX 01'!K92</f>
        <v>-1710</v>
      </c>
      <c r="G47" s="21"/>
      <c r="H47" s="5"/>
      <c r="I47" s="24" t="s">
        <v>51</v>
      </c>
      <c r="J47" s="25"/>
      <c r="K47" s="21">
        <v>2000.0</v>
      </c>
      <c r="L47" s="23">
        <f>'A3FLEX 02'!K92</f>
        <v>-4544</v>
      </c>
      <c r="M47" s="21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27.75" customHeight="1">
      <c r="A48" s="5"/>
      <c r="B48" s="5"/>
      <c r="C48" s="28"/>
      <c r="D48" s="29"/>
      <c r="E48" s="21">
        <v>4000.0</v>
      </c>
      <c r="F48" s="23">
        <f>'A3FLEX 01'!K97</f>
        <v>290</v>
      </c>
      <c r="G48" s="21"/>
      <c r="H48" s="5"/>
      <c r="I48" s="28"/>
      <c r="J48" s="29"/>
      <c r="K48" s="21">
        <v>4000.0</v>
      </c>
      <c r="L48" s="23">
        <f>'A3FLEX 02'!K97</f>
        <v>-2544</v>
      </c>
      <c r="M48" s="21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27.75" customHeight="1">
      <c r="A49" s="5"/>
      <c r="B49" s="5"/>
      <c r="C49" s="28"/>
      <c r="D49" s="29"/>
      <c r="E49" s="21">
        <v>5000.0</v>
      </c>
      <c r="F49" s="23">
        <f>'A3FLEX 01'!K98</f>
        <v>1290</v>
      </c>
      <c r="G49" s="21"/>
      <c r="H49" s="5"/>
      <c r="I49" s="28"/>
      <c r="J49" s="29"/>
      <c r="K49" s="21">
        <v>5000.0</v>
      </c>
      <c r="L49" s="23">
        <f>'A3FLEX 02'!K98</f>
        <v>-1544</v>
      </c>
      <c r="M49" s="21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7.75" customHeight="1">
      <c r="A50" s="5"/>
      <c r="B50" s="5"/>
      <c r="C50" s="26"/>
      <c r="D50" s="27"/>
      <c r="E50" s="21">
        <v>6000.0</v>
      </c>
      <c r="F50" s="23">
        <f>'A3FLEX 01'!K99</f>
        <v>2290</v>
      </c>
      <c r="G50" s="21"/>
      <c r="H50" s="5"/>
      <c r="I50" s="26"/>
      <c r="J50" s="27"/>
      <c r="K50" s="21">
        <v>6000.0</v>
      </c>
      <c r="L50" s="23">
        <f>'A3FLEX 02'!K99</f>
        <v>-544</v>
      </c>
      <c r="M50" s="21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7.75" customHeight="1">
      <c r="A51" s="5"/>
      <c r="B51" s="5"/>
      <c r="C51" s="22" t="s">
        <v>52</v>
      </c>
      <c r="D51" s="3"/>
      <c r="E51" s="21">
        <v>2000.0</v>
      </c>
      <c r="F51" s="23">
        <f>'A3FLEX 01'!K104</f>
        <v>-1710</v>
      </c>
      <c r="G51" s="21"/>
      <c r="H51" s="5"/>
      <c r="I51" s="22" t="s">
        <v>52</v>
      </c>
      <c r="J51" s="3"/>
      <c r="K51" s="21">
        <v>2000.0</v>
      </c>
      <c r="L51" s="23">
        <f>'A3FLEX 02'!K104</f>
        <v>-4544</v>
      </c>
      <c r="M51" s="21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7.75" customHeight="1">
      <c r="A52" s="5"/>
      <c r="B52" s="5"/>
      <c r="C52" s="22" t="s">
        <v>53</v>
      </c>
      <c r="D52" s="3"/>
      <c r="E52" s="21">
        <v>2000.0</v>
      </c>
      <c r="F52" s="23">
        <f>'A3FLEX 01'!K109</f>
        <v>-1710</v>
      </c>
      <c r="G52" s="21"/>
      <c r="H52" s="5"/>
      <c r="I52" s="22" t="s">
        <v>53</v>
      </c>
      <c r="J52" s="3"/>
      <c r="K52" s="21">
        <v>2000.0</v>
      </c>
      <c r="L52" s="23">
        <f>'A3FLEX 02'!K109</f>
        <v>-4544</v>
      </c>
      <c r="M52" s="21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7.75" customHeight="1">
      <c r="A53" s="5"/>
      <c r="B53" s="5"/>
      <c r="C53" s="22" t="s">
        <v>54</v>
      </c>
      <c r="D53" s="3"/>
      <c r="E53" s="21">
        <v>2000.0</v>
      </c>
      <c r="F53" s="23">
        <f>'A3FLEX 01'!K115</f>
        <v>-1710</v>
      </c>
      <c r="G53" s="21"/>
      <c r="H53" s="5"/>
      <c r="I53" s="22" t="s">
        <v>54</v>
      </c>
      <c r="J53" s="3"/>
      <c r="K53" s="21">
        <v>2000.0</v>
      </c>
      <c r="L53" s="23">
        <f>'A3FLEX 02'!K115</f>
        <v>-4544</v>
      </c>
      <c r="M53" s="21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7.75" customHeight="1">
      <c r="A54" s="5"/>
      <c r="B54" s="5"/>
      <c r="C54" s="22" t="s">
        <v>55</v>
      </c>
      <c r="D54" s="3"/>
      <c r="E54" s="21">
        <v>1000.0</v>
      </c>
      <c r="F54" s="23">
        <f>'A3FLEX 01'!K118</f>
        <v>-2710</v>
      </c>
      <c r="G54" s="21"/>
      <c r="H54" s="5"/>
      <c r="I54" s="22" t="s">
        <v>55</v>
      </c>
      <c r="J54" s="3"/>
      <c r="K54" s="21">
        <v>1000.0</v>
      </c>
      <c r="L54" s="23">
        <f>'A3FLEX 02'!K118</f>
        <v>-4446</v>
      </c>
      <c r="M54" s="21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7.75" customHeight="1">
      <c r="A55" s="5"/>
      <c r="B55" s="5"/>
      <c r="C55" s="22" t="s">
        <v>56</v>
      </c>
      <c r="D55" s="3"/>
      <c r="E55" s="21">
        <v>5000.0</v>
      </c>
      <c r="F55" s="23">
        <f>'A3FLEX 01'!K120</f>
        <v>1290</v>
      </c>
      <c r="G55" s="21"/>
      <c r="H55" s="5"/>
      <c r="I55" s="22" t="s">
        <v>56</v>
      </c>
      <c r="J55" s="3"/>
      <c r="K55" s="21">
        <v>5000.0</v>
      </c>
      <c r="L55" s="23">
        <f>'A3FLEX 02'!K120</f>
        <v>-1544</v>
      </c>
      <c r="M55" s="21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7.75" customHeight="1">
      <c r="A56" s="5"/>
      <c r="B56" s="5"/>
      <c r="C56" s="22" t="s">
        <v>57</v>
      </c>
      <c r="D56" s="3"/>
      <c r="E56" s="21">
        <v>15000.0</v>
      </c>
      <c r="F56" s="23">
        <f>'A3FLEX 01'!K138</f>
        <v>11290</v>
      </c>
      <c r="G56" s="21"/>
      <c r="H56" s="5"/>
      <c r="I56" s="22" t="s">
        <v>57</v>
      </c>
      <c r="J56" s="3"/>
      <c r="K56" s="21">
        <v>15000.0</v>
      </c>
      <c r="L56" s="23">
        <f>'A3FLEX 02'!K138</f>
        <v>8456</v>
      </c>
      <c r="M56" s="21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7.75" customHeight="1">
      <c r="A57" s="5"/>
      <c r="B57" s="5"/>
      <c r="C57" s="22" t="s">
        <v>58</v>
      </c>
      <c r="D57" s="3"/>
      <c r="E57" s="21">
        <v>12000.0</v>
      </c>
      <c r="F57" s="23">
        <f>'A3FLEX 01'!K148</f>
        <v>8290</v>
      </c>
      <c r="G57" s="21"/>
      <c r="H57" s="5"/>
      <c r="I57" s="22" t="s">
        <v>58</v>
      </c>
      <c r="J57" s="3"/>
      <c r="K57" s="21">
        <v>12000.0</v>
      </c>
      <c r="L57" s="23">
        <f>'A3FLEX 02'!K148</f>
        <v>5456</v>
      </c>
      <c r="M57" s="21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7.75" customHeight="1">
      <c r="A58" s="5"/>
      <c r="B58" s="5"/>
      <c r="C58" s="22" t="s">
        <v>59</v>
      </c>
      <c r="D58" s="3"/>
      <c r="E58" s="21">
        <v>6000.0</v>
      </c>
      <c r="F58" s="23">
        <f>'A3FLEX 01'!K158</f>
        <v>2290</v>
      </c>
      <c r="G58" s="21"/>
      <c r="H58" s="5"/>
      <c r="I58" s="22" t="s">
        <v>59</v>
      </c>
      <c r="J58" s="3"/>
      <c r="K58" s="21">
        <v>6000.0</v>
      </c>
      <c r="L58" s="23">
        <f>'A3FLEX 02'!K158</f>
        <v>-544</v>
      </c>
      <c r="M58" s="21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7.75" customHeight="1">
      <c r="A59" s="5"/>
      <c r="B59" s="5"/>
      <c r="C59" s="24" t="s">
        <v>60</v>
      </c>
      <c r="D59" s="25"/>
      <c r="E59" s="21">
        <v>3000.0</v>
      </c>
      <c r="F59" s="23">
        <f>'A3FLEX 01'!K163</f>
        <v>-710</v>
      </c>
      <c r="G59" s="21"/>
      <c r="H59" s="5"/>
      <c r="I59" s="24" t="s">
        <v>60</v>
      </c>
      <c r="J59" s="25"/>
      <c r="K59" s="21">
        <v>3000.0</v>
      </c>
      <c r="L59" s="23">
        <f>'A3FLEX 02'!K163</f>
        <v>-3544</v>
      </c>
      <c r="M59" s="21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7.75" customHeight="1">
      <c r="A60" s="5"/>
      <c r="B60" s="5"/>
      <c r="C60" s="28"/>
      <c r="D60" s="29"/>
      <c r="E60" s="21">
        <v>6000.0</v>
      </c>
      <c r="F60" s="23">
        <f>'A3FLEX 01'!K164</f>
        <v>2290</v>
      </c>
      <c r="G60" s="21"/>
      <c r="H60" s="5"/>
      <c r="I60" s="28"/>
      <c r="J60" s="29"/>
      <c r="K60" s="21">
        <v>6000.0</v>
      </c>
      <c r="L60" s="23">
        <f>'A3FLEX 02'!K164</f>
        <v>-544</v>
      </c>
      <c r="M60" s="21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7.75" customHeight="1">
      <c r="A61" s="5"/>
      <c r="B61" s="5"/>
      <c r="C61" s="26"/>
      <c r="D61" s="27"/>
      <c r="E61" s="21">
        <v>12000.0</v>
      </c>
      <c r="F61" s="23">
        <f>'A3FLEX 01'!K179</f>
        <v>8290</v>
      </c>
      <c r="G61" s="21"/>
      <c r="H61" s="5"/>
      <c r="I61" s="26"/>
      <c r="J61" s="27"/>
      <c r="K61" s="21">
        <v>12000.0</v>
      </c>
      <c r="L61" s="23">
        <f>'A3FLEX 02'!K179</f>
        <v>5456</v>
      </c>
      <c r="M61" s="21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7.75" customHeight="1">
      <c r="A62" s="5"/>
      <c r="B62" s="5"/>
      <c r="C62" s="22" t="s">
        <v>61</v>
      </c>
      <c r="D62" s="3"/>
      <c r="E62" s="21">
        <v>6000.0</v>
      </c>
      <c r="F62" s="23">
        <f>'A3FLEX 01'!K182</f>
        <v>2290</v>
      </c>
      <c r="G62" s="21"/>
      <c r="H62" s="5"/>
      <c r="I62" s="22" t="s">
        <v>61</v>
      </c>
      <c r="J62" s="3"/>
      <c r="K62" s="21">
        <v>6000.0</v>
      </c>
      <c r="L62" s="23">
        <f>'A3FLEX 02'!K182</f>
        <v>-544</v>
      </c>
      <c r="M62" s="21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7.75" customHeight="1">
      <c r="A63" s="5"/>
      <c r="B63" s="5"/>
      <c r="C63" s="24" t="s">
        <v>62</v>
      </c>
      <c r="D63" s="25"/>
      <c r="E63" s="21">
        <v>2000.0</v>
      </c>
      <c r="F63" s="23">
        <f>'A3FLEX 01'!K184</f>
        <v>-1710</v>
      </c>
      <c r="G63" s="21"/>
      <c r="H63" s="5"/>
      <c r="I63" s="24" t="s">
        <v>62</v>
      </c>
      <c r="J63" s="25"/>
      <c r="K63" s="21">
        <v>2000.0</v>
      </c>
      <c r="L63" s="23">
        <f>'A3FLEX 02'!K184</f>
        <v>-4544</v>
      </c>
      <c r="M63" s="21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7.75" customHeight="1">
      <c r="A64" s="5"/>
      <c r="B64" s="5"/>
      <c r="C64" s="26"/>
      <c r="D64" s="27"/>
      <c r="E64" s="21">
        <v>6000.0</v>
      </c>
      <c r="F64" s="23">
        <f>'A3FLEX 01'!K192</f>
        <v>2290</v>
      </c>
      <c r="G64" s="21"/>
      <c r="H64" s="5"/>
      <c r="I64" s="26"/>
      <c r="J64" s="27"/>
      <c r="K64" s="21">
        <v>6000.0</v>
      </c>
      <c r="L64" s="23">
        <f>'A3FLEX 02'!K192</f>
        <v>-544</v>
      </c>
      <c r="M64" s="21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7.75" customHeight="1">
      <c r="A65" s="5"/>
      <c r="B65" s="5"/>
      <c r="C65" s="24" t="s">
        <v>63</v>
      </c>
      <c r="D65" s="25"/>
      <c r="E65" s="21">
        <v>1000.0</v>
      </c>
      <c r="F65" s="23">
        <f>'A3FLEX 01'!K203</f>
        <v>-2710</v>
      </c>
      <c r="G65" s="21"/>
      <c r="H65" s="5"/>
      <c r="I65" s="24" t="s">
        <v>63</v>
      </c>
      <c r="J65" s="25"/>
      <c r="K65" s="21">
        <v>1000.0</v>
      </c>
      <c r="L65" s="23">
        <f>'A3FLEX 02'!K203</f>
        <v>-5544</v>
      </c>
      <c r="M65" s="21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7.75" customHeight="1">
      <c r="A66" s="5"/>
      <c r="B66" s="5"/>
      <c r="C66" s="26"/>
      <c r="D66" s="27"/>
      <c r="E66" s="21">
        <v>4000.0</v>
      </c>
      <c r="F66" s="23">
        <f>'A3FLEX 01'!K205</f>
        <v>290</v>
      </c>
      <c r="G66" s="21"/>
      <c r="H66" s="5"/>
      <c r="I66" s="26"/>
      <c r="J66" s="27"/>
      <c r="K66" s="21">
        <v>4000.0</v>
      </c>
      <c r="L66" s="23">
        <f>'A3FLEX 02'!K205</f>
        <v>-2544</v>
      </c>
      <c r="M66" s="21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7.75" customHeight="1">
      <c r="A67" s="5"/>
      <c r="B67" s="5"/>
      <c r="C67" s="22" t="s">
        <v>64</v>
      </c>
      <c r="D67" s="3"/>
      <c r="E67" s="21">
        <v>12000.0</v>
      </c>
      <c r="F67" s="23">
        <f>'A3FLEX 01'!K234</f>
        <v>8290</v>
      </c>
      <c r="G67" s="21"/>
      <c r="H67" s="5"/>
      <c r="I67" s="22" t="s">
        <v>64</v>
      </c>
      <c r="J67" s="3"/>
      <c r="K67" s="21">
        <v>12000.0</v>
      </c>
      <c r="L67" s="23">
        <f>'A3FLEX 02'!K234</f>
        <v>5456</v>
      </c>
      <c r="M67" s="21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7.75" customHeight="1">
      <c r="A68" s="5"/>
      <c r="B68" s="5"/>
      <c r="C68" s="22" t="s">
        <v>65</v>
      </c>
      <c r="D68" s="3"/>
      <c r="E68" s="21">
        <v>5000.0</v>
      </c>
      <c r="F68" s="23">
        <f>'A3FLEX 01'!K254</f>
        <v>1290</v>
      </c>
      <c r="G68" s="21"/>
      <c r="H68" s="5"/>
      <c r="I68" s="22" t="s">
        <v>65</v>
      </c>
      <c r="J68" s="3"/>
      <c r="K68" s="21">
        <v>5000.0</v>
      </c>
      <c r="L68" s="23">
        <f>'A3FLEX 02'!K254</f>
        <v>-1544</v>
      </c>
      <c r="M68" s="21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7.75" customHeight="1">
      <c r="A69" s="5"/>
      <c r="B69" s="5"/>
      <c r="C69" s="22" t="s">
        <v>66</v>
      </c>
      <c r="D69" s="3"/>
      <c r="E69" s="21">
        <v>12000.0</v>
      </c>
      <c r="F69" s="23">
        <f>'A3FLEX 01'!K260</f>
        <v>8290</v>
      </c>
      <c r="G69" s="21"/>
      <c r="H69" s="5"/>
      <c r="I69" s="22" t="s">
        <v>66</v>
      </c>
      <c r="J69" s="3"/>
      <c r="K69" s="21">
        <v>12000.0</v>
      </c>
      <c r="L69" s="23">
        <f>'A3FLEX 02'!K255</f>
        <v>5456</v>
      </c>
      <c r="M69" s="21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7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14"/>
      <c r="B71" s="14"/>
      <c r="C71" s="14"/>
      <c r="D71" s="14"/>
      <c r="E71" s="1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30.75" customHeight="1">
      <c r="A73" s="1" t="s">
        <v>67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4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6"/>
      <c r="B75" s="6"/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20.25" customHeight="1">
      <c r="A76" s="5"/>
      <c r="B76" s="5"/>
      <c r="C76" s="30" t="s">
        <v>68</v>
      </c>
      <c r="D76" s="2"/>
      <c r="E76" s="2"/>
      <c r="F76" s="3"/>
      <c r="G76" s="5"/>
      <c r="H76" s="5"/>
      <c r="I76" s="5"/>
      <c r="J76" s="30" t="s">
        <v>69</v>
      </c>
      <c r="K76" s="2"/>
      <c r="L76" s="2"/>
      <c r="M76" s="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20.25" customHeight="1">
      <c r="A77" s="5"/>
      <c r="B77" s="5"/>
      <c r="C77" s="31" t="s">
        <v>18</v>
      </c>
      <c r="D77" s="31" t="s">
        <v>19</v>
      </c>
      <c r="E77" s="31" t="s">
        <v>20</v>
      </c>
      <c r="F77" s="31" t="s">
        <v>21</v>
      </c>
      <c r="G77" s="5"/>
      <c r="H77" s="5"/>
      <c r="I77" s="5"/>
      <c r="J77" s="31" t="s">
        <v>18</v>
      </c>
      <c r="K77" s="31" t="s">
        <v>19</v>
      </c>
      <c r="L77" s="31" t="s">
        <v>20</v>
      </c>
      <c r="M77" s="31" t="s">
        <v>21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20.25" customHeight="1">
      <c r="A78" s="5"/>
      <c r="B78" s="5"/>
      <c r="C78" s="31" t="s">
        <v>70</v>
      </c>
      <c r="D78" s="31">
        <v>6000.0</v>
      </c>
      <c r="E78" s="32">
        <f>'HELIX 01'!J4</f>
        <v>2193</v>
      </c>
      <c r="F78" s="31"/>
      <c r="G78" s="5"/>
      <c r="H78" s="5"/>
      <c r="I78" s="5"/>
      <c r="J78" s="31" t="s">
        <v>70</v>
      </c>
      <c r="K78" s="31">
        <v>6000.0</v>
      </c>
      <c r="L78" s="32">
        <f>'HELIX 02'!J4</f>
        <v>-727</v>
      </c>
      <c r="M78" s="31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20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30.75" customHeight="1">
      <c r="A83" s="1" t="s">
        <v>71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4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6"/>
      <c r="B85" s="6"/>
      <c r="C85" s="6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29.25" customHeight="1">
      <c r="A86" s="5"/>
      <c r="B86" s="5"/>
      <c r="C86" s="30" t="s">
        <v>72</v>
      </c>
      <c r="D86" s="2"/>
      <c r="E86" s="2"/>
      <c r="F86" s="2"/>
      <c r="G86" s="3"/>
      <c r="H86" s="5"/>
      <c r="I86" s="30" t="s">
        <v>73</v>
      </c>
      <c r="J86" s="2"/>
      <c r="K86" s="2"/>
      <c r="L86" s="2"/>
      <c r="M86" s="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29.25" customHeight="1">
      <c r="A87" s="5"/>
      <c r="B87" s="5"/>
      <c r="C87" s="33" t="s">
        <v>18</v>
      </c>
      <c r="D87" s="3"/>
      <c r="E87" s="31" t="s">
        <v>19</v>
      </c>
      <c r="F87" s="31" t="s">
        <v>20</v>
      </c>
      <c r="G87" s="31" t="s">
        <v>21</v>
      </c>
      <c r="H87" s="5"/>
      <c r="I87" s="33" t="s">
        <v>18</v>
      </c>
      <c r="J87" s="3"/>
      <c r="K87" s="31" t="s">
        <v>19</v>
      </c>
      <c r="L87" s="31" t="s">
        <v>20</v>
      </c>
      <c r="M87" s="31" t="s">
        <v>21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29.25" customHeight="1">
      <c r="A88" s="5"/>
      <c r="B88" s="5"/>
      <c r="C88" s="33" t="s">
        <v>74</v>
      </c>
      <c r="D88" s="3"/>
      <c r="E88" s="31">
        <v>2000.0</v>
      </c>
      <c r="F88" s="32">
        <f>'CAPPER 01'!J5</f>
        <v>-1627</v>
      </c>
      <c r="G88" s="31"/>
      <c r="H88" s="5"/>
      <c r="I88" s="33" t="s">
        <v>74</v>
      </c>
      <c r="J88" s="3"/>
      <c r="K88" s="31">
        <v>2000.0</v>
      </c>
      <c r="L88" s="32">
        <f>'CAPPER 02'!J5</f>
        <v>-4673</v>
      </c>
      <c r="M88" s="31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9.25" customHeight="1">
      <c r="A89" s="5"/>
      <c r="B89" s="5"/>
      <c r="C89" s="33" t="s">
        <v>75</v>
      </c>
      <c r="D89" s="3"/>
      <c r="E89" s="31">
        <v>3000.0</v>
      </c>
      <c r="F89" s="32">
        <f>'CAPPER 01'!J14</f>
        <v>-627</v>
      </c>
      <c r="G89" s="31"/>
      <c r="H89" s="5"/>
      <c r="I89" s="33" t="s">
        <v>75</v>
      </c>
      <c r="J89" s="3"/>
      <c r="K89" s="31">
        <v>3000.0</v>
      </c>
      <c r="L89" s="32">
        <f>'CAPPER 02'!J14</f>
        <v>-3673</v>
      </c>
      <c r="M89" s="31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29.25" customHeight="1">
      <c r="A90" s="5"/>
      <c r="B90" s="5"/>
      <c r="C90" s="33" t="s">
        <v>76</v>
      </c>
      <c r="D90" s="3"/>
      <c r="E90" s="31">
        <v>4000.0</v>
      </c>
      <c r="F90" s="32">
        <f>'CAPPER 01'!J16</f>
        <v>373</v>
      </c>
      <c r="G90" s="31"/>
      <c r="H90" s="5"/>
      <c r="I90" s="33" t="s">
        <v>76</v>
      </c>
      <c r="J90" s="3"/>
      <c r="K90" s="31">
        <v>4000.0</v>
      </c>
      <c r="L90" s="32">
        <f>'CAPPER 02'!J16</f>
        <v>-2673</v>
      </c>
      <c r="M90" s="3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9.25" customHeight="1">
      <c r="A91" s="5"/>
      <c r="B91" s="5"/>
      <c r="C91" s="33" t="s">
        <v>77</v>
      </c>
      <c r="D91" s="3"/>
      <c r="E91" s="31">
        <v>1000.0</v>
      </c>
      <c r="F91" s="32">
        <f>'CAPPER 01'!J3</f>
        <v>-2627</v>
      </c>
      <c r="G91" s="31"/>
      <c r="H91" s="5"/>
      <c r="I91" s="33" t="s">
        <v>77</v>
      </c>
      <c r="J91" s="3"/>
      <c r="K91" s="31">
        <v>1000.0</v>
      </c>
      <c r="L91" s="32">
        <f>'CAPPER 02'!J3</f>
        <v>-5673</v>
      </c>
      <c r="M91" s="31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14"/>
      <c r="B92" s="14"/>
      <c r="C92" s="14"/>
      <c r="D92" s="14"/>
      <c r="E92" s="1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30.75" customHeight="1">
      <c r="A94" s="1" t="s">
        <v>78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4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6"/>
      <c r="B96" s="6"/>
      <c r="C96" s="6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25.5" customHeight="1">
      <c r="A97" s="5"/>
      <c r="B97" s="5"/>
      <c r="C97" s="30" t="s">
        <v>79</v>
      </c>
      <c r="D97" s="2"/>
      <c r="E97" s="2"/>
      <c r="F97" s="2"/>
      <c r="G97" s="3"/>
      <c r="H97" s="5"/>
      <c r="I97" s="30" t="s">
        <v>80</v>
      </c>
      <c r="J97" s="2"/>
      <c r="K97" s="2"/>
      <c r="L97" s="2"/>
      <c r="M97" s="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5.5" customHeight="1">
      <c r="A98" s="5"/>
      <c r="B98" s="5"/>
      <c r="C98" s="33" t="s">
        <v>18</v>
      </c>
      <c r="D98" s="3"/>
      <c r="E98" s="31" t="s">
        <v>19</v>
      </c>
      <c r="F98" s="31" t="s">
        <v>20</v>
      </c>
      <c r="G98" s="31" t="s">
        <v>21</v>
      </c>
      <c r="H98" s="5"/>
      <c r="I98" s="33" t="s">
        <v>18</v>
      </c>
      <c r="J98" s="3"/>
      <c r="K98" s="31" t="s">
        <v>19</v>
      </c>
      <c r="L98" s="31" t="s">
        <v>20</v>
      </c>
      <c r="M98" s="31" t="s">
        <v>21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5.5" customHeight="1">
      <c r="A99" s="5"/>
      <c r="B99" s="5"/>
      <c r="C99" s="34" t="s">
        <v>81</v>
      </c>
      <c r="D99" s="25"/>
      <c r="E99" s="31">
        <v>4000.0</v>
      </c>
      <c r="F99" s="32">
        <f>'CARD-32 01'!J3</f>
        <v>186</v>
      </c>
      <c r="G99" s="31"/>
      <c r="H99" s="5"/>
      <c r="I99" s="34" t="s">
        <v>81</v>
      </c>
      <c r="J99" s="25"/>
      <c r="K99" s="31">
        <v>4000.0</v>
      </c>
      <c r="L99" s="32">
        <f>'CARD-32 02'!J3</f>
        <v>-2545</v>
      </c>
      <c r="M99" s="31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25.5" customHeight="1">
      <c r="A100" s="5"/>
      <c r="B100" s="5"/>
      <c r="C100" s="26"/>
      <c r="D100" s="27"/>
      <c r="E100" s="31">
        <v>2000.0</v>
      </c>
      <c r="F100" s="32">
        <f>'CARD-32 01'!J4</f>
        <v>-1814</v>
      </c>
      <c r="G100" s="31"/>
      <c r="H100" s="5"/>
      <c r="I100" s="26"/>
      <c r="J100" s="27"/>
      <c r="K100" s="31">
        <v>2000.0</v>
      </c>
      <c r="L100" s="32">
        <f>'CARD-32 02'!J4</f>
        <v>-4545</v>
      </c>
      <c r="M100" s="31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25.5" customHeight="1">
      <c r="A101" s="5"/>
      <c r="B101" s="5"/>
      <c r="C101" s="33" t="s">
        <v>82</v>
      </c>
      <c r="D101" s="3"/>
      <c r="E101" s="31">
        <v>5000.0</v>
      </c>
      <c r="F101" s="32" t="str">
        <f>'CARD-32 01'!J10</f>
        <v>#REF!</v>
      </c>
      <c r="G101" s="31"/>
      <c r="H101" s="5"/>
      <c r="I101" s="33" t="s">
        <v>82</v>
      </c>
      <c r="J101" s="3"/>
      <c r="K101" s="31">
        <v>5000.0</v>
      </c>
      <c r="L101" s="32">
        <f>'CARD-32 02'!J10</f>
        <v>-1545</v>
      </c>
      <c r="M101" s="31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25.5" customHeight="1">
      <c r="A102" s="5"/>
      <c r="B102" s="5"/>
      <c r="C102" s="33" t="s">
        <v>83</v>
      </c>
      <c r="D102" s="3"/>
      <c r="E102" s="31">
        <v>4000.0</v>
      </c>
      <c r="F102" s="32" t="str">
        <f>'CARD-32 01'!J13</f>
        <v>#REF!</v>
      </c>
      <c r="G102" s="31"/>
      <c r="H102" s="5"/>
      <c r="I102" s="33" t="s">
        <v>83</v>
      </c>
      <c r="J102" s="3"/>
      <c r="K102" s="31">
        <v>4000.0</v>
      </c>
      <c r="L102" s="32">
        <f>'CARD-32 02'!J13</f>
        <v>-2545</v>
      </c>
      <c r="M102" s="31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25.5" customHeight="1">
      <c r="A103" s="5"/>
      <c r="B103" s="5"/>
      <c r="C103" s="33" t="s">
        <v>84</v>
      </c>
      <c r="D103" s="3"/>
      <c r="E103" s="31">
        <v>4000.0</v>
      </c>
      <c r="F103" s="32" t="str">
        <f>'CARD-32 01'!J16</f>
        <v>#REF!</v>
      </c>
      <c r="G103" s="31"/>
      <c r="H103" s="5"/>
      <c r="I103" s="33" t="s">
        <v>84</v>
      </c>
      <c r="J103" s="3"/>
      <c r="K103" s="31">
        <v>4000.0</v>
      </c>
      <c r="L103" s="32">
        <f>'CARD-32 02'!J16</f>
        <v>-2545</v>
      </c>
      <c r="M103" s="31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25.5" customHeight="1">
      <c r="A104" s="5"/>
      <c r="B104" s="5"/>
      <c r="C104" s="33" t="s">
        <v>85</v>
      </c>
      <c r="D104" s="3"/>
      <c r="E104" s="31">
        <v>4000.0</v>
      </c>
      <c r="F104" s="32" t="str">
        <f>'CARD-32 01'!J23</f>
        <v>#REF!</v>
      </c>
      <c r="G104" s="31"/>
      <c r="H104" s="5"/>
      <c r="I104" s="33" t="s">
        <v>85</v>
      </c>
      <c r="J104" s="3"/>
      <c r="K104" s="31">
        <v>4000.0</v>
      </c>
      <c r="L104" s="32">
        <f>'CARD-32 02'!J23</f>
        <v>-2545</v>
      </c>
      <c r="M104" s="31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25.5" customHeight="1">
      <c r="A105" s="5"/>
      <c r="B105" s="5"/>
      <c r="C105" s="33" t="s">
        <v>86</v>
      </c>
      <c r="D105" s="3"/>
      <c r="E105" s="31">
        <v>4000.0</v>
      </c>
      <c r="F105" s="35" t="str">
        <f>'[1]CARD32 01'!$J$24</f>
        <v>#REF!</v>
      </c>
      <c r="G105" s="31"/>
      <c r="H105" s="5"/>
      <c r="I105" s="33" t="s">
        <v>86</v>
      </c>
      <c r="J105" s="3"/>
      <c r="K105" s="31">
        <v>4000.0</v>
      </c>
      <c r="L105" s="35" t="str">
        <f>'[1]CARD32 01'!$J$24</f>
        <v>#REF!</v>
      </c>
      <c r="M105" s="31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25.5" customHeight="1">
      <c r="A106" s="5"/>
      <c r="B106" s="5"/>
      <c r="C106" s="33" t="s">
        <v>87</v>
      </c>
      <c r="D106" s="3"/>
      <c r="E106" s="31">
        <v>4000.0</v>
      </c>
      <c r="F106" s="32" t="str">
        <f>'CARD-32 01'!J34</f>
        <v>#REF!</v>
      </c>
      <c r="G106" s="31"/>
      <c r="H106" s="5"/>
      <c r="I106" s="33" t="s">
        <v>87</v>
      </c>
      <c r="J106" s="3"/>
      <c r="K106" s="31">
        <v>4000.0</v>
      </c>
      <c r="L106" s="32">
        <f>'CARD-32 02'!J34</f>
        <v>-2545</v>
      </c>
      <c r="M106" s="31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25.5" customHeight="1">
      <c r="A107" s="5"/>
      <c r="B107" s="5"/>
      <c r="C107" s="33" t="s">
        <v>88</v>
      </c>
      <c r="D107" s="3"/>
      <c r="E107" s="31">
        <v>4000.0</v>
      </c>
      <c r="F107" s="32" t="str">
        <f>'CARD-32 01'!J50</f>
        <v>#REF!</v>
      </c>
      <c r="G107" s="31"/>
      <c r="H107" s="5"/>
      <c r="I107" s="33" t="s">
        <v>88</v>
      </c>
      <c r="J107" s="3"/>
      <c r="K107" s="31">
        <v>4000.0</v>
      </c>
      <c r="L107" s="32">
        <f>'CARD-32 02'!J50</f>
        <v>-2545</v>
      </c>
      <c r="M107" s="31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25.5" customHeight="1">
      <c r="A108" s="5"/>
      <c r="B108" s="5"/>
      <c r="C108" s="33" t="s">
        <v>89</v>
      </c>
      <c r="D108" s="3"/>
      <c r="E108" s="31">
        <v>3000.0</v>
      </c>
      <c r="F108" s="32" t="str">
        <f>'CARD-32 01'!J51</f>
        <v>#REF!</v>
      </c>
      <c r="G108" s="31"/>
      <c r="H108" s="5"/>
      <c r="I108" s="33" t="s">
        <v>89</v>
      </c>
      <c r="J108" s="3"/>
      <c r="K108" s="31">
        <v>3000.0</v>
      </c>
      <c r="L108" s="32">
        <f>'CARD-32 02'!J51</f>
        <v>-3545</v>
      </c>
      <c r="M108" s="31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25.5" customHeight="1">
      <c r="A109" s="5"/>
      <c r="B109" s="5"/>
      <c r="C109" s="33" t="s">
        <v>90</v>
      </c>
      <c r="D109" s="3"/>
      <c r="E109" s="31">
        <v>3000.0</v>
      </c>
      <c r="F109" s="32" t="str">
        <f>'CARD-32 01'!J54</f>
        <v>#REF!</v>
      </c>
      <c r="G109" s="31"/>
      <c r="H109" s="5"/>
      <c r="I109" s="33" t="s">
        <v>90</v>
      </c>
      <c r="J109" s="3"/>
      <c r="K109" s="31">
        <v>3000.0</v>
      </c>
      <c r="L109" s="32">
        <f>'CARD-32 02'!J54</f>
        <v>-3545</v>
      </c>
      <c r="M109" s="31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25.5" customHeight="1">
      <c r="A110" s="5"/>
      <c r="B110" s="5"/>
      <c r="C110" s="33" t="s">
        <v>91</v>
      </c>
      <c r="D110" s="3"/>
      <c r="E110" s="31">
        <v>3000.0</v>
      </c>
      <c r="F110" s="32" t="str">
        <f>'CARD-32 01'!J56</f>
        <v>#REF!</v>
      </c>
      <c r="G110" s="31"/>
      <c r="H110" s="5"/>
      <c r="I110" s="33" t="s">
        <v>91</v>
      </c>
      <c r="J110" s="3"/>
      <c r="K110" s="31">
        <v>3000.0</v>
      </c>
      <c r="L110" s="32">
        <f>'CARD-32 02'!J56</f>
        <v>-3545</v>
      </c>
      <c r="M110" s="31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25.5" customHeight="1">
      <c r="A111" s="5"/>
      <c r="B111" s="5"/>
      <c r="C111" s="33" t="s">
        <v>92</v>
      </c>
      <c r="D111" s="3"/>
      <c r="E111" s="31">
        <v>2000.0</v>
      </c>
      <c r="F111" s="32" t="str">
        <f>'CARD-32 01'!J57</f>
        <v>#REF!</v>
      </c>
      <c r="G111" s="31"/>
      <c r="H111" s="5"/>
      <c r="I111" s="33" t="s">
        <v>92</v>
      </c>
      <c r="J111" s="3"/>
      <c r="K111" s="31">
        <v>2000.0</v>
      </c>
      <c r="L111" s="32">
        <f>'CARD-32 02'!J57</f>
        <v>-4545</v>
      </c>
      <c r="M111" s="31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25.5" customHeight="1">
      <c r="A112" s="5"/>
      <c r="B112" s="5"/>
      <c r="C112" s="34" t="s">
        <v>93</v>
      </c>
      <c r="D112" s="25"/>
      <c r="E112" s="31">
        <v>5000.0</v>
      </c>
      <c r="F112" s="32" t="str">
        <f>'CARD-32 01'!J59</f>
        <v>#REF!</v>
      </c>
      <c r="G112" s="31"/>
      <c r="H112" s="5"/>
      <c r="I112" s="34" t="s">
        <v>93</v>
      </c>
      <c r="J112" s="25"/>
      <c r="K112" s="31">
        <v>5000.0</v>
      </c>
      <c r="L112" s="32">
        <f>'CARD-32 02'!J59</f>
        <v>-1545</v>
      </c>
      <c r="M112" s="31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25.5" customHeight="1">
      <c r="A113" s="5"/>
      <c r="B113" s="5"/>
      <c r="C113" s="26"/>
      <c r="D113" s="27"/>
      <c r="E113" s="31">
        <v>10000.0</v>
      </c>
      <c r="F113" s="32" t="str">
        <f>'CARD-32 01'!J63</f>
        <v>#REF!</v>
      </c>
      <c r="G113" s="31"/>
      <c r="H113" s="5"/>
      <c r="I113" s="26"/>
      <c r="J113" s="27"/>
      <c r="K113" s="31">
        <v>10000.0</v>
      </c>
      <c r="L113" s="32">
        <f>'CARD-32 02'!J63</f>
        <v>3455</v>
      </c>
      <c r="M113" s="3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25.5" customHeight="1">
      <c r="A114" s="5"/>
      <c r="B114" s="5"/>
      <c r="C114" s="33" t="s">
        <v>94</v>
      </c>
      <c r="D114" s="3"/>
      <c r="E114" s="31">
        <v>4000.0</v>
      </c>
      <c r="F114" s="32" t="str">
        <f>'CARD-32 01'!J64</f>
        <v>#REF!</v>
      </c>
      <c r="G114" s="31"/>
      <c r="H114" s="5"/>
      <c r="I114" s="33" t="s">
        <v>94</v>
      </c>
      <c r="J114" s="3"/>
      <c r="K114" s="31">
        <v>4000.0</v>
      </c>
      <c r="L114" s="32">
        <f>'CARD-32 02'!J64</f>
        <v>-2545</v>
      </c>
      <c r="M114" s="31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25.5" customHeight="1">
      <c r="A115" s="5"/>
      <c r="B115" s="5"/>
      <c r="C115" s="33" t="s">
        <v>95</v>
      </c>
      <c r="D115" s="3"/>
      <c r="E115" s="31">
        <v>6000.0</v>
      </c>
      <c r="F115" s="32" t="str">
        <f>'CARD-32 01'!J65</f>
        <v>#REF!</v>
      </c>
      <c r="G115" s="31"/>
      <c r="H115" s="5"/>
      <c r="I115" s="33" t="s">
        <v>95</v>
      </c>
      <c r="J115" s="3"/>
      <c r="K115" s="31">
        <v>6000.0</v>
      </c>
      <c r="L115" s="32">
        <f>'CARD-32 02'!J65</f>
        <v>-545</v>
      </c>
      <c r="M115" s="31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25.5" customHeight="1">
      <c r="A116" s="5"/>
      <c r="B116" s="5"/>
      <c r="C116" s="14"/>
      <c r="D116" s="14"/>
      <c r="E116" s="1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A1:O1"/>
    <mergeCell ref="C4:D4"/>
    <mergeCell ref="F4:G4"/>
    <mergeCell ref="I4:J4"/>
    <mergeCell ref="L4:M4"/>
    <mergeCell ref="A11:O11"/>
    <mergeCell ref="B14:E14"/>
    <mergeCell ref="J14:N14"/>
    <mergeCell ref="J15:K15"/>
    <mergeCell ref="J16:K16"/>
    <mergeCell ref="J17:K17"/>
    <mergeCell ref="J18:K18"/>
    <mergeCell ref="J19:K19"/>
    <mergeCell ref="J20:K20"/>
    <mergeCell ref="J21:K21"/>
    <mergeCell ref="A27:O27"/>
    <mergeCell ref="C29:G29"/>
    <mergeCell ref="I29:M29"/>
    <mergeCell ref="C30:D30"/>
    <mergeCell ref="I30:J30"/>
    <mergeCell ref="I31:J31"/>
    <mergeCell ref="I35:J36"/>
    <mergeCell ref="I37:J37"/>
    <mergeCell ref="I34:J34"/>
    <mergeCell ref="I38:J39"/>
    <mergeCell ref="C44:D44"/>
    <mergeCell ref="C45:D45"/>
    <mergeCell ref="C46:D46"/>
    <mergeCell ref="I45:J45"/>
    <mergeCell ref="I46:J46"/>
    <mergeCell ref="C63:D64"/>
    <mergeCell ref="C65:D66"/>
    <mergeCell ref="C67:D67"/>
    <mergeCell ref="C68:D68"/>
    <mergeCell ref="C69:D69"/>
    <mergeCell ref="C76:F76"/>
    <mergeCell ref="I65:J66"/>
    <mergeCell ref="I67:J67"/>
    <mergeCell ref="I68:J68"/>
    <mergeCell ref="I69:J69"/>
    <mergeCell ref="A73:O73"/>
    <mergeCell ref="J76:M76"/>
    <mergeCell ref="A83:O83"/>
    <mergeCell ref="C86:G86"/>
    <mergeCell ref="I86:M86"/>
    <mergeCell ref="C87:D87"/>
    <mergeCell ref="I87:J87"/>
    <mergeCell ref="C88:D88"/>
    <mergeCell ref="I88:J88"/>
    <mergeCell ref="I89:J89"/>
    <mergeCell ref="C89:D89"/>
    <mergeCell ref="C90:D90"/>
    <mergeCell ref="C91:D91"/>
    <mergeCell ref="A94:O94"/>
    <mergeCell ref="C97:G97"/>
    <mergeCell ref="I97:M97"/>
    <mergeCell ref="I98:J98"/>
    <mergeCell ref="I102:J102"/>
    <mergeCell ref="I103:J103"/>
    <mergeCell ref="C98:D98"/>
    <mergeCell ref="C99:D100"/>
    <mergeCell ref="I99:J100"/>
    <mergeCell ref="C101:D101"/>
    <mergeCell ref="I101:J101"/>
    <mergeCell ref="C102:D102"/>
    <mergeCell ref="C103:D103"/>
    <mergeCell ref="C107:D107"/>
    <mergeCell ref="C108:D108"/>
    <mergeCell ref="C109:D109"/>
    <mergeCell ref="C110:D110"/>
    <mergeCell ref="C111:D111"/>
    <mergeCell ref="C112:D113"/>
    <mergeCell ref="C114:D114"/>
    <mergeCell ref="C115:D115"/>
    <mergeCell ref="I108:J108"/>
    <mergeCell ref="I109:J109"/>
    <mergeCell ref="I110:J110"/>
    <mergeCell ref="I111:J111"/>
    <mergeCell ref="I112:J113"/>
    <mergeCell ref="I114:J114"/>
    <mergeCell ref="I115:J115"/>
    <mergeCell ref="C104:D104"/>
    <mergeCell ref="I104:J104"/>
    <mergeCell ref="C105:D105"/>
    <mergeCell ref="I105:J105"/>
    <mergeCell ref="C106:D106"/>
    <mergeCell ref="I106:J106"/>
    <mergeCell ref="I107:J107"/>
    <mergeCell ref="C31:D31"/>
    <mergeCell ref="C32:D33"/>
    <mergeCell ref="I32:J33"/>
    <mergeCell ref="C34:D34"/>
    <mergeCell ref="C35:D36"/>
    <mergeCell ref="C37:D37"/>
    <mergeCell ref="C38:D39"/>
    <mergeCell ref="I44:J44"/>
    <mergeCell ref="I47:J50"/>
    <mergeCell ref="C40:D40"/>
    <mergeCell ref="I40:J40"/>
    <mergeCell ref="C41:D42"/>
    <mergeCell ref="I41:J42"/>
    <mergeCell ref="C43:D43"/>
    <mergeCell ref="I43:J43"/>
    <mergeCell ref="C47:D50"/>
    <mergeCell ref="C51:D51"/>
    <mergeCell ref="I51:J51"/>
    <mergeCell ref="C52:D52"/>
    <mergeCell ref="I52:J52"/>
    <mergeCell ref="C53:D53"/>
    <mergeCell ref="I53:J53"/>
    <mergeCell ref="I54:J54"/>
    <mergeCell ref="C54:D54"/>
    <mergeCell ref="C55:D55"/>
    <mergeCell ref="C56:D56"/>
    <mergeCell ref="C57:D57"/>
    <mergeCell ref="C58:D58"/>
    <mergeCell ref="C59:D61"/>
    <mergeCell ref="C62:D62"/>
    <mergeCell ref="I55:J55"/>
    <mergeCell ref="I56:J56"/>
    <mergeCell ref="I57:J57"/>
    <mergeCell ref="I58:J58"/>
    <mergeCell ref="I59:J61"/>
    <mergeCell ref="I62:J62"/>
    <mergeCell ref="I63:J64"/>
    <mergeCell ref="I90:J90"/>
    <mergeCell ref="I91:J91"/>
  </mergeCells>
  <conditionalFormatting sqref="A14:A24">
    <cfRule type="cellIs" dxfId="0" priority="1" operator="lessThanOrEqual">
      <formula>-101</formula>
    </cfRule>
  </conditionalFormatting>
  <conditionalFormatting sqref="A14:A24">
    <cfRule type="containsBlanks" dxfId="1" priority="2">
      <formula>LEN(TRIM(A14))=0</formula>
    </cfRule>
  </conditionalFormatting>
  <conditionalFormatting sqref="A14:A24">
    <cfRule type="cellIs" dxfId="2" priority="3" operator="between">
      <formula>0</formula>
      <formula>-100</formula>
    </cfRule>
  </conditionalFormatting>
  <conditionalFormatting sqref="A29:B69">
    <cfRule type="cellIs" dxfId="0" priority="4" operator="lessThanOrEqual">
      <formula>-101</formula>
    </cfRule>
  </conditionalFormatting>
  <conditionalFormatting sqref="A29:B69">
    <cfRule type="containsBlanks" dxfId="1" priority="5">
      <formula>LEN(TRIM(A29))=0</formula>
    </cfRule>
  </conditionalFormatting>
  <conditionalFormatting sqref="A29:B69">
    <cfRule type="cellIs" dxfId="2" priority="6" operator="between">
      <formula>0</formula>
      <formula>-100</formula>
    </cfRule>
  </conditionalFormatting>
  <conditionalFormatting sqref="A76:B81">
    <cfRule type="cellIs" dxfId="0" priority="7" operator="lessThanOrEqual">
      <formula>-101</formula>
    </cfRule>
  </conditionalFormatting>
  <conditionalFormatting sqref="A76:B81">
    <cfRule type="containsBlanks" dxfId="1" priority="8">
      <formula>LEN(TRIM(A76))=0</formula>
    </cfRule>
  </conditionalFormatting>
  <conditionalFormatting sqref="A76:B81">
    <cfRule type="cellIs" dxfId="2" priority="9" operator="between">
      <formula>0</formula>
      <formula>-100</formula>
    </cfRule>
  </conditionalFormatting>
  <conditionalFormatting sqref="A86:B91">
    <cfRule type="containsBlanks" dxfId="1" priority="10">
      <formula>LEN(TRIM(A86))=0</formula>
    </cfRule>
  </conditionalFormatting>
  <conditionalFormatting sqref="A86:B91">
    <cfRule type="cellIs" dxfId="2" priority="11" operator="between">
      <formula>0</formula>
      <formula>-100</formula>
    </cfRule>
  </conditionalFormatting>
  <conditionalFormatting sqref="A86:C91">
    <cfRule type="cellIs" dxfId="0" priority="12" operator="lessThanOrEqual">
      <formula>-101</formula>
    </cfRule>
  </conditionalFormatting>
  <conditionalFormatting sqref="A12:O13 A25:O26 A28:O28 A70:O72 A74:O75 A82:O82 A84:O85 A92:O93 A95:O96 B14 B15:E23 C29:I29 C29:C32 C34:C35 C37:C38 C40:C41 C43:C47 C51:C59 C62:C63 C65 C67:C69 C76 C77:F78 C86:M86 C97:M97 C97:C99 C101:C112 C114:C115 C116:H116 E24:I24 E30:I69 E76:I78 E87:H91 E98:H115 I29:N70 I86:I91 I97:I99 I101:I112 I114:I115 J76 J77:M78 K87:M91 K98:M115 L76:O78 N97:O116 O24 O29:O69">
    <cfRule type="cellIs" dxfId="0" priority="13" operator="lessThanOrEqual">
      <formula>-101</formula>
    </cfRule>
  </conditionalFormatting>
  <conditionalFormatting sqref="A12:O13 A25:O26 A28:O28 A70:O72 A74:O75 A82:O82 A84:O85 A92:O93 A95:O96 B14 B15:E23 C29:I69 C76 C77:F78 C86:M86 C86:C91 C97:M97 C97:C99 C101:C112 C114:C115 C116:H116 E24:I24 E76:I78 E87:H91 E98:H115 I29:N70 I86:I91 I97:I99 I101:I112 I114:I115 J76 J77:M78 K87:M91 K98:M115 L76:O78 N97:O116 O24 O29:O69">
    <cfRule type="containsBlanks" dxfId="1" priority="14">
      <formula>LEN(TRIM(A12))=0</formula>
    </cfRule>
  </conditionalFormatting>
  <conditionalFormatting sqref="A12:O13 A25:O26 A28:O28 A70:O72 A74:O75 A82:O82 A84:O85 A92:O93 A95:O96 B14 B15:E23 C29:I69 C76 C77:F78 C86:M86 C86:C91 C97:M97 C97:C99 C101:C112 C114:C115 C116:H116 E24:I24 E76:I78 E87:H91 E98:H115 I29:N70 I86:I91 I97:I99 I101:I112 I114:I115 J76 J77:M78 K87:M91 K98:M115 L76:O78 N97:O116 O24 O29:O69">
    <cfRule type="cellIs" dxfId="2" priority="15" operator="between">
      <formula>0</formula>
      <formula>-100</formula>
    </cfRule>
  </conditionalFormatting>
  <conditionalFormatting sqref="C79:O81">
    <cfRule type="cellIs" dxfId="0" priority="16" operator="lessThanOrEqual">
      <formula>-101</formula>
    </cfRule>
  </conditionalFormatting>
  <conditionalFormatting sqref="C79:O81">
    <cfRule type="containsBlanks" dxfId="1" priority="17">
      <formula>LEN(TRIM(C79))=0</formula>
    </cfRule>
  </conditionalFormatting>
  <conditionalFormatting sqref="C79:O81">
    <cfRule type="cellIs" dxfId="2" priority="18" operator="between">
      <formula>0</formula>
      <formula>-100</formula>
    </cfRule>
  </conditionalFormatting>
  <conditionalFormatting sqref="F14:I23">
    <cfRule type="cellIs" dxfId="0" priority="19" operator="lessThanOrEqual">
      <formula>-101</formula>
    </cfRule>
  </conditionalFormatting>
  <conditionalFormatting sqref="F14:I23">
    <cfRule type="containsBlanks" dxfId="1" priority="20">
      <formula>LEN(TRIM(F14))=0</formula>
    </cfRule>
  </conditionalFormatting>
  <conditionalFormatting sqref="F14:I23">
    <cfRule type="cellIs" dxfId="2" priority="21" operator="between">
      <formula>0</formula>
      <formula>-100</formula>
    </cfRule>
  </conditionalFormatting>
  <conditionalFormatting sqref="J14:J21 L15:N21">
    <cfRule type="cellIs" dxfId="0" priority="22" operator="lessThanOrEqual">
      <formula>-101</formula>
    </cfRule>
  </conditionalFormatting>
  <conditionalFormatting sqref="J14:J21 L15:N21">
    <cfRule type="containsBlanks" dxfId="1" priority="23">
      <formula>LEN(TRIM(J14))=0</formula>
    </cfRule>
  </conditionalFormatting>
  <conditionalFormatting sqref="J14:J21 L15:N21">
    <cfRule type="cellIs" dxfId="2" priority="24" operator="between">
      <formula>0</formula>
      <formula>-100</formula>
    </cfRule>
  </conditionalFormatting>
  <conditionalFormatting sqref="N86:O91">
    <cfRule type="cellIs" dxfId="0" priority="25" operator="lessThanOrEqual">
      <formula>-101</formula>
    </cfRule>
  </conditionalFormatting>
  <conditionalFormatting sqref="N86:O91">
    <cfRule type="containsBlanks" dxfId="1" priority="26">
      <formula>LEN(TRIM(N86))=0</formula>
    </cfRule>
  </conditionalFormatting>
  <conditionalFormatting sqref="N86:O91">
    <cfRule type="cellIs" dxfId="2" priority="27" operator="between">
      <formula>0</formula>
      <formula>-100</formula>
    </cfRule>
  </conditionalFormatting>
  <conditionalFormatting sqref="O14:P22">
    <cfRule type="cellIs" dxfId="0" priority="28" operator="lessThanOrEqual">
      <formula>-101</formula>
    </cfRule>
  </conditionalFormatting>
  <conditionalFormatting sqref="O14:P22">
    <cfRule type="containsBlanks" dxfId="1" priority="29">
      <formula>LEN(TRIM(O14))=0</formula>
    </cfRule>
  </conditionalFormatting>
  <conditionalFormatting sqref="O14:P22">
    <cfRule type="cellIs" dxfId="2" priority="30" operator="between">
      <formula>0</formula>
      <formula>-100</formula>
    </cfRule>
  </conditionalFormatting>
  <dataValidations>
    <dataValidation type="list" allowBlank="1" showErrorMessage="1" sqref="N16:N21 E16:E22 K26 G31:G67 M31:M67 F78 M78 G88:G91 M88:M91 G99:G115 M99:M115">
      <formula1>$Y$6:$Y$9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7.86"/>
    <col customWidth="1" min="3" max="3" width="28.71"/>
    <col customWidth="1" min="4" max="4" width="23.57"/>
    <col customWidth="1" min="5" max="5" width="55.43"/>
    <col customWidth="1" min="6" max="6" width="20.71"/>
    <col customWidth="1" min="7" max="7" width="20.43"/>
    <col customWidth="1" min="8" max="8" width="21.14"/>
    <col customWidth="1" min="9" max="9" width="23.71"/>
    <col customWidth="1" min="10" max="10" width="23.57"/>
    <col customWidth="1" min="11" max="11" width="26.43"/>
    <col customWidth="1" min="12" max="12" width="23.71"/>
    <col customWidth="1" min="13" max="13" width="53.14"/>
    <col customWidth="1" min="14" max="15" width="23.71"/>
    <col customWidth="1" min="16" max="16" width="53.14"/>
    <col customWidth="1" min="17" max="18" width="23.71"/>
    <col customWidth="1" min="19" max="19" width="53.14"/>
    <col customWidth="1" min="20" max="21" width="23.71"/>
    <col customWidth="1" min="22" max="22" width="53.14"/>
    <col customWidth="1" min="23" max="24" width="23.71"/>
    <col customWidth="1" min="25" max="25" width="53.14"/>
    <col customWidth="1" min="26" max="27" width="23.71"/>
    <col customWidth="1" min="28" max="28" width="53.14"/>
    <col customWidth="1" min="29" max="30" width="23.71"/>
    <col customWidth="1" min="31" max="31" width="53.14"/>
    <col customWidth="1" min="32" max="33" width="23.71"/>
    <col customWidth="1" min="34" max="34" width="53.14"/>
    <col customWidth="1" min="35" max="36" width="23.71"/>
    <col customWidth="1" min="37" max="37" width="53.14"/>
    <col customWidth="1" min="38" max="39" width="23.71"/>
    <col customWidth="1" min="40" max="40" width="53.14"/>
    <col customWidth="1" min="41" max="42" width="23.71"/>
    <col customWidth="1" min="43" max="43" width="53.14"/>
    <col customWidth="1" min="44" max="45" width="23.71"/>
    <col customWidth="1" min="46" max="46" width="53.14"/>
    <col customWidth="1" min="47" max="47" width="23.71"/>
  </cols>
  <sheetData>
    <row r="1" ht="34.5" customHeight="1">
      <c r="A1" s="36" t="s">
        <v>16</v>
      </c>
      <c r="B1" s="37"/>
      <c r="C1" s="37"/>
      <c r="D1" s="37"/>
      <c r="E1" s="37"/>
      <c r="F1" s="37"/>
      <c r="G1" s="37"/>
      <c r="H1" s="37"/>
      <c r="I1" s="37"/>
      <c r="J1" s="37"/>
      <c r="K1" s="38"/>
      <c r="L1" s="39"/>
      <c r="M1" s="40"/>
      <c r="N1" s="41"/>
      <c r="O1" s="39"/>
      <c r="P1" s="40"/>
      <c r="Q1" s="41"/>
      <c r="R1" s="39"/>
      <c r="S1" s="40"/>
      <c r="T1" s="41"/>
      <c r="U1" s="39"/>
      <c r="V1" s="40"/>
      <c r="W1" s="41"/>
      <c r="X1" s="39"/>
      <c r="Y1" s="40"/>
      <c r="Z1" s="41"/>
      <c r="AA1" s="39"/>
      <c r="AB1" s="40"/>
      <c r="AC1" s="41"/>
      <c r="AD1" s="39"/>
      <c r="AE1" s="40"/>
      <c r="AF1" s="41"/>
      <c r="AG1" s="39"/>
      <c r="AH1" s="40"/>
      <c r="AI1" s="41"/>
      <c r="AJ1" s="39"/>
      <c r="AK1" s="40"/>
      <c r="AL1" s="41"/>
      <c r="AM1" s="39"/>
      <c r="AN1" s="40"/>
      <c r="AO1" s="41"/>
      <c r="AP1" s="39"/>
      <c r="AQ1" s="40"/>
      <c r="AR1" s="41"/>
      <c r="AS1" s="39"/>
      <c r="AT1" s="40"/>
      <c r="AU1" s="41"/>
    </row>
    <row r="2">
      <c r="A2" s="42" t="s">
        <v>96</v>
      </c>
      <c r="B2" s="42" t="s">
        <v>97</v>
      </c>
      <c r="C2" s="43" t="s">
        <v>98</v>
      </c>
      <c r="D2" s="42" t="s">
        <v>99</v>
      </c>
      <c r="E2" s="42" t="s">
        <v>100</v>
      </c>
      <c r="F2" s="44" t="s">
        <v>101</v>
      </c>
      <c r="G2" s="42" t="s">
        <v>102</v>
      </c>
      <c r="H2" s="45" t="s">
        <v>103</v>
      </c>
      <c r="I2" s="42" t="s">
        <v>104</v>
      </c>
      <c r="J2" s="42" t="s">
        <v>105</v>
      </c>
      <c r="K2" s="46" t="s">
        <v>106</v>
      </c>
      <c r="L2" s="47" t="s">
        <v>107</v>
      </c>
      <c r="M2" s="42" t="s">
        <v>108</v>
      </c>
      <c r="N2" s="48" t="s">
        <v>109</v>
      </c>
      <c r="O2" s="47" t="s">
        <v>107</v>
      </c>
      <c r="P2" s="42" t="s">
        <v>108</v>
      </c>
      <c r="Q2" s="48" t="s">
        <v>109</v>
      </c>
      <c r="R2" s="47" t="s">
        <v>107</v>
      </c>
      <c r="S2" s="42" t="s">
        <v>108</v>
      </c>
      <c r="T2" s="48" t="s">
        <v>109</v>
      </c>
      <c r="U2" s="47" t="s">
        <v>107</v>
      </c>
      <c r="V2" s="42" t="s">
        <v>108</v>
      </c>
      <c r="W2" s="48" t="s">
        <v>109</v>
      </c>
      <c r="X2" s="47" t="s">
        <v>107</v>
      </c>
      <c r="Y2" s="42" t="s">
        <v>108</v>
      </c>
      <c r="Z2" s="48" t="s">
        <v>109</v>
      </c>
      <c r="AA2" s="47" t="s">
        <v>107</v>
      </c>
      <c r="AB2" s="42" t="s">
        <v>108</v>
      </c>
      <c r="AC2" s="48" t="s">
        <v>109</v>
      </c>
      <c r="AD2" s="47" t="s">
        <v>107</v>
      </c>
      <c r="AE2" s="42" t="s">
        <v>108</v>
      </c>
      <c r="AF2" s="48" t="s">
        <v>109</v>
      </c>
      <c r="AG2" s="47" t="s">
        <v>107</v>
      </c>
      <c r="AH2" s="42" t="s">
        <v>108</v>
      </c>
      <c r="AI2" s="48" t="s">
        <v>109</v>
      </c>
      <c r="AJ2" s="47" t="s">
        <v>107</v>
      </c>
      <c r="AK2" s="42" t="s">
        <v>108</v>
      </c>
      <c r="AL2" s="48" t="s">
        <v>109</v>
      </c>
      <c r="AM2" s="47" t="s">
        <v>107</v>
      </c>
      <c r="AN2" s="42" t="s">
        <v>108</v>
      </c>
      <c r="AO2" s="48" t="s">
        <v>109</v>
      </c>
      <c r="AP2" s="47" t="s">
        <v>107</v>
      </c>
      <c r="AQ2" s="42" t="s">
        <v>108</v>
      </c>
      <c r="AR2" s="48" t="s">
        <v>109</v>
      </c>
      <c r="AS2" s="47" t="s">
        <v>107</v>
      </c>
      <c r="AT2" s="42" t="s">
        <v>108</v>
      </c>
      <c r="AU2" s="48" t="s">
        <v>109</v>
      </c>
    </row>
    <row r="3" ht="36.75" customHeight="1">
      <c r="A3" s="49" t="s">
        <v>110</v>
      </c>
      <c r="B3" s="50"/>
      <c r="C3" s="49" t="s">
        <v>111</v>
      </c>
      <c r="D3" s="51"/>
      <c r="E3" s="50" t="s">
        <v>112</v>
      </c>
      <c r="F3" s="52">
        <v>1.0</v>
      </c>
      <c r="G3" s="50" t="s">
        <v>113</v>
      </c>
      <c r="H3" s="53">
        <f>TODAY()</f>
        <v>46046</v>
      </c>
      <c r="I3" s="53">
        <v>45323.0</v>
      </c>
      <c r="J3" s="50" t="str">
        <f t="shared" ref="J3:J35" si="1">SUM(I3+G3)</f>
        <v>#VALUE!</v>
      </c>
      <c r="K3" s="54" t="str">
        <f t="shared" ref="K3:K119" si="2">J3-H3</f>
        <v>#VALUE!</v>
      </c>
      <c r="L3" s="47"/>
      <c r="M3" s="42"/>
      <c r="N3" s="48"/>
      <c r="O3" s="47"/>
      <c r="P3" s="42"/>
      <c r="Q3" s="48"/>
      <c r="R3" s="47"/>
      <c r="S3" s="42"/>
      <c r="T3" s="48"/>
      <c r="U3" s="47"/>
      <c r="V3" s="42"/>
      <c r="W3" s="48"/>
      <c r="X3" s="47"/>
      <c r="Y3" s="42"/>
      <c r="Z3" s="48"/>
      <c r="AA3" s="47"/>
      <c r="AB3" s="42"/>
      <c r="AC3" s="48"/>
      <c r="AD3" s="47"/>
      <c r="AE3" s="42"/>
      <c r="AF3" s="48"/>
      <c r="AG3" s="47"/>
      <c r="AH3" s="42"/>
      <c r="AI3" s="48"/>
      <c r="AJ3" s="47"/>
      <c r="AK3" s="42"/>
      <c r="AL3" s="48"/>
      <c r="AM3" s="47"/>
      <c r="AN3" s="42"/>
      <c r="AO3" s="48"/>
      <c r="AP3" s="47"/>
      <c r="AQ3" s="42"/>
      <c r="AR3" s="48"/>
      <c r="AS3" s="47"/>
      <c r="AT3" s="42"/>
      <c r="AU3" s="48"/>
    </row>
    <row r="4" ht="36.75" customHeight="1">
      <c r="A4" s="55" t="s">
        <v>114</v>
      </c>
      <c r="B4" s="55">
        <v>809.0</v>
      </c>
      <c r="C4" s="56" t="s">
        <v>115</v>
      </c>
      <c r="D4" s="57" t="s">
        <v>116</v>
      </c>
      <c r="E4" s="57" t="s">
        <v>117</v>
      </c>
      <c r="F4" s="58">
        <v>10.0</v>
      </c>
      <c r="G4" s="57">
        <v>4000.0</v>
      </c>
      <c r="H4" s="57">
        <f>'PAINEL DE CONTROLE'!$D$5</f>
        <v>13697</v>
      </c>
      <c r="I4" s="57">
        <v>100800.0</v>
      </c>
      <c r="J4" s="57">
        <f t="shared" si="1"/>
        <v>104800</v>
      </c>
      <c r="K4" s="59">
        <f t="shared" si="2"/>
        <v>91103</v>
      </c>
      <c r="L4" s="60"/>
      <c r="M4" s="31"/>
      <c r="N4" s="61"/>
      <c r="O4" s="60"/>
      <c r="P4" s="31"/>
      <c r="Q4" s="61"/>
      <c r="R4" s="60"/>
      <c r="S4" s="31"/>
      <c r="T4" s="61"/>
      <c r="U4" s="60"/>
      <c r="V4" s="31"/>
      <c r="W4" s="61"/>
      <c r="X4" s="60"/>
      <c r="Y4" s="31"/>
      <c r="Z4" s="61"/>
      <c r="AA4" s="60"/>
      <c r="AB4" s="31"/>
      <c r="AC4" s="61"/>
      <c r="AD4" s="60"/>
      <c r="AE4" s="31"/>
      <c r="AF4" s="61"/>
      <c r="AG4" s="60"/>
      <c r="AH4" s="31"/>
      <c r="AI4" s="61"/>
      <c r="AJ4" s="60"/>
      <c r="AK4" s="31"/>
      <c r="AL4" s="61"/>
      <c r="AM4" s="60"/>
      <c r="AN4" s="31"/>
      <c r="AO4" s="61"/>
      <c r="AP4" s="60"/>
      <c r="AQ4" s="31"/>
      <c r="AR4" s="61"/>
      <c r="AS4" s="60"/>
      <c r="AT4" s="31"/>
      <c r="AU4" s="61"/>
    </row>
    <row r="5" ht="36.75" customHeight="1">
      <c r="A5" s="62"/>
      <c r="B5" s="62"/>
      <c r="C5" s="56" t="s">
        <v>118</v>
      </c>
      <c r="D5" s="57" t="s">
        <v>119</v>
      </c>
      <c r="E5" s="57" t="s">
        <v>120</v>
      </c>
      <c r="F5" s="58">
        <v>20.0</v>
      </c>
      <c r="G5" s="57">
        <v>4000.0</v>
      </c>
      <c r="H5" s="57">
        <f>'PAINEL DE CONTROLE'!$D$5</f>
        <v>13697</v>
      </c>
      <c r="I5" s="57">
        <v>100800.0</v>
      </c>
      <c r="J5" s="57">
        <f t="shared" si="1"/>
        <v>104800</v>
      </c>
      <c r="K5" s="59">
        <f t="shared" si="2"/>
        <v>91103</v>
      </c>
      <c r="L5" s="60"/>
      <c r="M5" s="31"/>
      <c r="N5" s="61"/>
      <c r="O5" s="60"/>
      <c r="P5" s="31"/>
      <c r="Q5" s="61"/>
      <c r="R5" s="60"/>
      <c r="S5" s="31"/>
      <c r="T5" s="61"/>
      <c r="U5" s="60"/>
      <c r="V5" s="31"/>
      <c r="W5" s="61"/>
      <c r="X5" s="60"/>
      <c r="Y5" s="31"/>
      <c r="Z5" s="61"/>
      <c r="AA5" s="60"/>
      <c r="AB5" s="31"/>
      <c r="AC5" s="61"/>
      <c r="AD5" s="60"/>
      <c r="AE5" s="31"/>
      <c r="AF5" s="61"/>
      <c r="AG5" s="60"/>
      <c r="AH5" s="31"/>
      <c r="AI5" s="61"/>
      <c r="AJ5" s="60"/>
      <c r="AK5" s="31"/>
      <c r="AL5" s="61"/>
      <c r="AM5" s="60"/>
      <c r="AN5" s="31"/>
      <c r="AO5" s="61"/>
      <c r="AP5" s="60"/>
      <c r="AQ5" s="31"/>
      <c r="AR5" s="61"/>
      <c r="AS5" s="60"/>
      <c r="AT5" s="31"/>
      <c r="AU5" s="61"/>
    </row>
    <row r="6" ht="36.75" customHeight="1">
      <c r="A6" s="62"/>
      <c r="B6" s="62"/>
      <c r="C6" s="56" t="s">
        <v>121</v>
      </c>
      <c r="D6" s="57" t="s">
        <v>122</v>
      </c>
      <c r="E6" s="57" t="s">
        <v>123</v>
      </c>
      <c r="F6" s="58">
        <v>60.0</v>
      </c>
      <c r="G6" s="57">
        <v>4000.0</v>
      </c>
      <c r="H6" s="57">
        <f>'PAINEL DE CONTROLE'!$D$5</f>
        <v>13697</v>
      </c>
      <c r="I6" s="57">
        <v>100800.0</v>
      </c>
      <c r="J6" s="57">
        <f t="shared" si="1"/>
        <v>104800</v>
      </c>
      <c r="K6" s="59">
        <f t="shared" si="2"/>
        <v>91103</v>
      </c>
      <c r="L6" s="60"/>
      <c r="M6" s="31"/>
      <c r="N6" s="61"/>
      <c r="O6" s="60"/>
      <c r="P6" s="31"/>
      <c r="Q6" s="61"/>
      <c r="R6" s="60"/>
      <c r="S6" s="31"/>
      <c r="T6" s="61"/>
      <c r="U6" s="60"/>
      <c r="V6" s="31"/>
      <c r="W6" s="61"/>
      <c r="X6" s="60"/>
      <c r="Y6" s="31"/>
      <c r="Z6" s="61"/>
      <c r="AA6" s="60"/>
      <c r="AB6" s="31"/>
      <c r="AC6" s="61"/>
      <c r="AD6" s="60"/>
      <c r="AE6" s="31"/>
      <c r="AF6" s="61"/>
      <c r="AG6" s="60"/>
      <c r="AH6" s="31"/>
      <c r="AI6" s="61"/>
      <c r="AJ6" s="60"/>
      <c r="AK6" s="31"/>
      <c r="AL6" s="61"/>
      <c r="AM6" s="60"/>
      <c r="AN6" s="31"/>
      <c r="AO6" s="61"/>
      <c r="AP6" s="60"/>
      <c r="AQ6" s="31"/>
      <c r="AR6" s="61"/>
      <c r="AS6" s="60"/>
      <c r="AT6" s="31"/>
      <c r="AU6" s="61"/>
    </row>
    <row r="7" ht="36.75" customHeight="1">
      <c r="A7" s="62"/>
      <c r="B7" s="62"/>
      <c r="C7" s="56" t="s">
        <v>124</v>
      </c>
      <c r="D7" s="57" t="s">
        <v>125</v>
      </c>
      <c r="E7" s="57" t="s">
        <v>126</v>
      </c>
      <c r="F7" s="58">
        <v>15.0</v>
      </c>
      <c r="G7" s="57">
        <v>4000.0</v>
      </c>
      <c r="H7" s="57">
        <f>'PAINEL DE CONTROLE'!$D$5</f>
        <v>13697</v>
      </c>
      <c r="I7" s="57">
        <v>100800.0</v>
      </c>
      <c r="J7" s="57">
        <f t="shared" si="1"/>
        <v>104800</v>
      </c>
      <c r="K7" s="59">
        <f t="shared" si="2"/>
        <v>91103</v>
      </c>
      <c r="L7" s="60"/>
      <c r="M7" s="31"/>
      <c r="N7" s="61"/>
      <c r="O7" s="60"/>
      <c r="P7" s="31"/>
      <c r="Q7" s="61"/>
      <c r="R7" s="60"/>
      <c r="S7" s="31"/>
      <c r="T7" s="61"/>
      <c r="U7" s="60"/>
      <c r="V7" s="31"/>
      <c r="W7" s="61"/>
      <c r="X7" s="60"/>
      <c r="Y7" s="31"/>
      <c r="Z7" s="61"/>
      <c r="AA7" s="60"/>
      <c r="AB7" s="31"/>
      <c r="AC7" s="61"/>
      <c r="AD7" s="60"/>
      <c r="AE7" s="31"/>
      <c r="AF7" s="61"/>
      <c r="AG7" s="60"/>
      <c r="AH7" s="31"/>
      <c r="AI7" s="61"/>
      <c r="AJ7" s="60"/>
      <c r="AK7" s="31"/>
      <c r="AL7" s="61"/>
      <c r="AM7" s="60"/>
      <c r="AN7" s="31"/>
      <c r="AO7" s="61"/>
      <c r="AP7" s="60"/>
      <c r="AQ7" s="31"/>
      <c r="AR7" s="61"/>
      <c r="AS7" s="60"/>
      <c r="AT7" s="31"/>
      <c r="AU7" s="61"/>
    </row>
    <row r="8" ht="36.75" customHeight="1">
      <c r="A8" s="63"/>
      <c r="B8" s="63"/>
      <c r="C8" s="56" t="s">
        <v>127</v>
      </c>
      <c r="D8" s="57" t="s">
        <v>128</v>
      </c>
      <c r="E8" s="57" t="s">
        <v>129</v>
      </c>
      <c r="F8" s="58">
        <v>10.0</v>
      </c>
      <c r="G8" s="57">
        <v>4000.0</v>
      </c>
      <c r="H8" s="57">
        <f>'PAINEL DE CONTROLE'!$D$5</f>
        <v>13697</v>
      </c>
      <c r="I8" s="57">
        <v>100800.0</v>
      </c>
      <c r="J8" s="57">
        <f t="shared" si="1"/>
        <v>104800</v>
      </c>
      <c r="K8" s="59">
        <f t="shared" si="2"/>
        <v>91103</v>
      </c>
      <c r="L8" s="60"/>
      <c r="M8" s="31"/>
      <c r="N8" s="61"/>
      <c r="O8" s="60"/>
      <c r="P8" s="31"/>
      <c r="Q8" s="61"/>
      <c r="R8" s="60"/>
      <c r="S8" s="31"/>
      <c r="T8" s="61"/>
      <c r="U8" s="60"/>
      <c r="V8" s="31"/>
      <c r="W8" s="61"/>
      <c r="X8" s="60"/>
      <c r="Y8" s="31"/>
      <c r="Z8" s="61"/>
      <c r="AA8" s="60"/>
      <c r="AB8" s="31"/>
      <c r="AC8" s="61"/>
      <c r="AD8" s="60"/>
      <c r="AE8" s="31"/>
      <c r="AF8" s="61"/>
      <c r="AG8" s="60"/>
      <c r="AH8" s="31"/>
      <c r="AI8" s="61"/>
      <c r="AJ8" s="60"/>
      <c r="AK8" s="31"/>
      <c r="AL8" s="61"/>
      <c r="AM8" s="60"/>
      <c r="AN8" s="31"/>
      <c r="AO8" s="61"/>
      <c r="AP8" s="60"/>
      <c r="AQ8" s="31"/>
      <c r="AR8" s="61"/>
      <c r="AS8" s="60"/>
      <c r="AT8" s="31"/>
      <c r="AU8" s="61"/>
    </row>
    <row r="9" ht="36.75" customHeight="1">
      <c r="A9" s="64" t="s">
        <v>130</v>
      </c>
      <c r="B9" s="64">
        <v>810.0</v>
      </c>
      <c r="C9" s="65" t="s">
        <v>131</v>
      </c>
      <c r="D9" s="65" t="s">
        <v>132</v>
      </c>
      <c r="E9" s="65" t="s">
        <v>133</v>
      </c>
      <c r="F9" s="65" t="s">
        <v>134</v>
      </c>
      <c r="G9" s="51">
        <v>6000.0</v>
      </c>
      <c r="H9" s="51">
        <f>'PAINEL DE CONTROLE'!$D$5</f>
        <v>13697</v>
      </c>
      <c r="I9" s="51">
        <v>100800.0</v>
      </c>
      <c r="J9" s="51">
        <f t="shared" si="1"/>
        <v>106800</v>
      </c>
      <c r="K9" s="54">
        <f t="shared" si="2"/>
        <v>93103</v>
      </c>
      <c r="L9" s="60"/>
      <c r="M9" s="31"/>
      <c r="N9" s="61"/>
      <c r="O9" s="60"/>
      <c r="P9" s="31"/>
      <c r="Q9" s="61"/>
      <c r="R9" s="60"/>
      <c r="S9" s="31"/>
      <c r="T9" s="61"/>
      <c r="U9" s="60"/>
      <c r="V9" s="31"/>
      <c r="W9" s="61"/>
      <c r="X9" s="60"/>
      <c r="Y9" s="31"/>
      <c r="Z9" s="61"/>
      <c r="AA9" s="60"/>
      <c r="AB9" s="31"/>
      <c r="AC9" s="61"/>
      <c r="AD9" s="60"/>
      <c r="AE9" s="31"/>
      <c r="AF9" s="61"/>
      <c r="AG9" s="60"/>
      <c r="AH9" s="31"/>
      <c r="AI9" s="61"/>
      <c r="AJ9" s="60"/>
      <c r="AK9" s="31"/>
      <c r="AL9" s="61"/>
      <c r="AM9" s="60"/>
      <c r="AN9" s="31"/>
      <c r="AO9" s="61"/>
      <c r="AP9" s="60"/>
      <c r="AQ9" s="31"/>
      <c r="AR9" s="61"/>
      <c r="AS9" s="60"/>
      <c r="AT9" s="31"/>
      <c r="AU9" s="61"/>
    </row>
    <row r="10" ht="36.75" customHeight="1">
      <c r="A10" s="62"/>
      <c r="B10" s="62"/>
      <c r="C10" s="65" t="s">
        <v>135</v>
      </c>
      <c r="D10" s="65" t="s">
        <v>136</v>
      </c>
      <c r="E10" s="65" t="s">
        <v>133</v>
      </c>
      <c r="F10" s="65" t="s">
        <v>137</v>
      </c>
      <c r="G10" s="51">
        <v>6000.0</v>
      </c>
      <c r="H10" s="51">
        <f>'PAINEL DE CONTROLE'!$D$5</f>
        <v>13697</v>
      </c>
      <c r="I10" s="51">
        <v>100800.0</v>
      </c>
      <c r="J10" s="51">
        <f t="shared" si="1"/>
        <v>106800</v>
      </c>
      <c r="K10" s="54">
        <f t="shared" si="2"/>
        <v>93103</v>
      </c>
      <c r="L10" s="60"/>
      <c r="M10" s="31"/>
      <c r="N10" s="61"/>
      <c r="O10" s="60"/>
      <c r="P10" s="31"/>
      <c r="Q10" s="61"/>
      <c r="R10" s="60"/>
      <c r="S10" s="31"/>
      <c r="T10" s="61"/>
      <c r="U10" s="60"/>
      <c r="V10" s="31"/>
      <c r="W10" s="61"/>
      <c r="X10" s="60"/>
      <c r="Y10" s="31"/>
      <c r="Z10" s="61"/>
      <c r="AA10" s="60"/>
      <c r="AB10" s="31"/>
      <c r="AC10" s="61"/>
      <c r="AD10" s="60"/>
      <c r="AE10" s="31"/>
      <c r="AF10" s="61"/>
      <c r="AG10" s="60"/>
      <c r="AH10" s="31"/>
      <c r="AI10" s="61"/>
      <c r="AJ10" s="60"/>
      <c r="AK10" s="31"/>
      <c r="AL10" s="61"/>
      <c r="AM10" s="60"/>
      <c r="AN10" s="31"/>
      <c r="AO10" s="61"/>
      <c r="AP10" s="60"/>
      <c r="AQ10" s="31"/>
      <c r="AR10" s="61"/>
      <c r="AS10" s="60"/>
      <c r="AT10" s="31"/>
      <c r="AU10" s="61"/>
    </row>
    <row r="11" ht="36.75" customHeight="1">
      <c r="A11" s="62"/>
      <c r="B11" s="62"/>
      <c r="C11" s="51" t="str">
        <f t="shared" ref="C11:C13" si="3">VLOOKUP(D11,'[1]2-Saldos em Estoque'!A1:C33546,2,0)</f>
        <v>#REF!</v>
      </c>
      <c r="D11" s="65" t="s">
        <v>138</v>
      </c>
      <c r="E11" s="65" t="s">
        <v>139</v>
      </c>
      <c r="F11" s="65" t="s">
        <v>140</v>
      </c>
      <c r="G11" s="51">
        <v>6000.0</v>
      </c>
      <c r="H11" s="51">
        <f>'PAINEL DE CONTROLE'!$D$5</f>
        <v>13697</v>
      </c>
      <c r="I11" s="51">
        <v>100800.0</v>
      </c>
      <c r="J11" s="51">
        <f t="shared" si="1"/>
        <v>106800</v>
      </c>
      <c r="K11" s="54">
        <f t="shared" si="2"/>
        <v>93103</v>
      </c>
      <c r="L11" s="60"/>
      <c r="M11" s="31"/>
      <c r="N11" s="61"/>
      <c r="O11" s="60"/>
      <c r="P11" s="31"/>
      <c r="Q11" s="61"/>
      <c r="R11" s="60"/>
      <c r="S11" s="31"/>
      <c r="T11" s="61"/>
      <c r="U11" s="60"/>
      <c r="V11" s="31"/>
      <c r="W11" s="61"/>
      <c r="X11" s="60"/>
      <c r="Y11" s="31"/>
      <c r="Z11" s="61"/>
      <c r="AA11" s="60"/>
      <c r="AB11" s="31"/>
      <c r="AC11" s="61"/>
      <c r="AD11" s="60"/>
      <c r="AE11" s="31"/>
      <c r="AF11" s="61"/>
      <c r="AG11" s="60"/>
      <c r="AH11" s="31"/>
      <c r="AI11" s="61"/>
      <c r="AJ11" s="60"/>
      <c r="AK11" s="31"/>
      <c r="AL11" s="61"/>
      <c r="AM11" s="60"/>
      <c r="AN11" s="31"/>
      <c r="AO11" s="61"/>
      <c r="AP11" s="60"/>
      <c r="AQ11" s="31"/>
      <c r="AR11" s="61"/>
      <c r="AS11" s="60"/>
      <c r="AT11" s="31"/>
      <c r="AU11" s="61"/>
    </row>
    <row r="12" ht="36.75" customHeight="1">
      <c r="A12" s="63"/>
      <c r="B12" s="63"/>
      <c r="C12" s="51" t="str">
        <f t="shared" si="3"/>
        <v>#REF!</v>
      </c>
      <c r="D12" s="65" t="s">
        <v>141</v>
      </c>
      <c r="E12" s="65" t="s">
        <v>139</v>
      </c>
      <c r="F12" s="65" t="s">
        <v>140</v>
      </c>
      <c r="G12" s="51">
        <v>6000.0</v>
      </c>
      <c r="H12" s="51">
        <f>'PAINEL DE CONTROLE'!$D$5</f>
        <v>13697</v>
      </c>
      <c r="I12" s="51">
        <v>100800.0</v>
      </c>
      <c r="J12" s="51">
        <f t="shared" si="1"/>
        <v>106800</v>
      </c>
      <c r="K12" s="54">
        <f t="shared" si="2"/>
        <v>93103</v>
      </c>
      <c r="L12" s="60"/>
      <c r="M12" s="31"/>
      <c r="N12" s="61"/>
      <c r="O12" s="60"/>
      <c r="P12" s="31"/>
      <c r="Q12" s="61"/>
      <c r="R12" s="60"/>
      <c r="S12" s="31"/>
      <c r="T12" s="61"/>
      <c r="U12" s="60"/>
      <c r="V12" s="31"/>
      <c r="W12" s="61"/>
      <c r="X12" s="60"/>
      <c r="Y12" s="31"/>
      <c r="Z12" s="61"/>
      <c r="AA12" s="60"/>
      <c r="AB12" s="31"/>
      <c r="AC12" s="61"/>
      <c r="AD12" s="60"/>
      <c r="AE12" s="31"/>
      <c r="AF12" s="61"/>
      <c r="AG12" s="60"/>
      <c r="AH12" s="31"/>
      <c r="AI12" s="61"/>
      <c r="AJ12" s="60"/>
      <c r="AK12" s="31"/>
      <c r="AL12" s="61"/>
      <c r="AM12" s="60"/>
      <c r="AN12" s="31"/>
      <c r="AO12" s="61"/>
      <c r="AP12" s="60"/>
      <c r="AQ12" s="31"/>
      <c r="AR12" s="61"/>
      <c r="AS12" s="60"/>
      <c r="AT12" s="31"/>
      <c r="AU12" s="61"/>
    </row>
    <row r="13" ht="36.75" customHeight="1">
      <c r="A13" s="55" t="s">
        <v>26</v>
      </c>
      <c r="B13" s="55">
        <v>811.0</v>
      </c>
      <c r="C13" s="57" t="str">
        <f t="shared" si="3"/>
        <v>#REF!</v>
      </c>
      <c r="D13" s="56" t="s">
        <v>128</v>
      </c>
      <c r="E13" s="57" t="s">
        <v>133</v>
      </c>
      <c r="F13" s="58">
        <v>1.0</v>
      </c>
      <c r="G13" s="57">
        <v>6000.0</v>
      </c>
      <c r="H13" s="57">
        <f>'PAINEL DE CONTROLE'!$D$5</f>
        <v>13697</v>
      </c>
      <c r="I13" s="57">
        <v>100800.0</v>
      </c>
      <c r="J13" s="57">
        <f t="shared" si="1"/>
        <v>106800</v>
      </c>
      <c r="K13" s="59">
        <f t="shared" si="2"/>
        <v>93103</v>
      </c>
      <c r="L13" s="60"/>
      <c r="M13" s="31"/>
      <c r="N13" s="61"/>
      <c r="O13" s="60"/>
      <c r="P13" s="31"/>
      <c r="Q13" s="61"/>
      <c r="R13" s="60"/>
      <c r="S13" s="31"/>
      <c r="T13" s="61"/>
      <c r="U13" s="60"/>
      <c r="V13" s="31"/>
      <c r="W13" s="61"/>
      <c r="X13" s="60"/>
      <c r="Y13" s="31"/>
      <c r="Z13" s="61"/>
      <c r="AA13" s="60"/>
      <c r="AB13" s="31"/>
      <c r="AC13" s="61"/>
      <c r="AD13" s="60"/>
      <c r="AE13" s="31"/>
      <c r="AF13" s="61"/>
      <c r="AG13" s="60"/>
      <c r="AH13" s="31"/>
      <c r="AI13" s="61"/>
      <c r="AJ13" s="60"/>
      <c r="AK13" s="31"/>
      <c r="AL13" s="61"/>
      <c r="AM13" s="60"/>
      <c r="AN13" s="31"/>
      <c r="AO13" s="61"/>
      <c r="AP13" s="60"/>
      <c r="AQ13" s="31"/>
      <c r="AR13" s="61"/>
      <c r="AS13" s="60"/>
      <c r="AT13" s="31"/>
      <c r="AU13" s="61"/>
    </row>
    <row r="14" ht="36.75" customHeight="1">
      <c r="A14" s="62"/>
      <c r="B14" s="62"/>
      <c r="C14" s="66" t="s">
        <v>142</v>
      </c>
      <c r="D14" s="56" t="s">
        <v>143</v>
      </c>
      <c r="E14" s="57" t="s">
        <v>112</v>
      </c>
      <c r="F14" s="58">
        <v>1.0</v>
      </c>
      <c r="G14" s="57">
        <v>6000.0</v>
      </c>
      <c r="H14" s="57">
        <f>'PAINEL DE CONTROLE'!$D$5</f>
        <v>13697</v>
      </c>
      <c r="I14" s="57">
        <v>100800.0</v>
      </c>
      <c r="J14" s="57">
        <f t="shared" si="1"/>
        <v>106800</v>
      </c>
      <c r="K14" s="59">
        <f t="shared" si="2"/>
        <v>93103</v>
      </c>
      <c r="L14" s="60"/>
      <c r="M14" s="31"/>
      <c r="N14" s="61"/>
      <c r="O14" s="60"/>
      <c r="P14" s="31"/>
      <c r="Q14" s="61"/>
      <c r="R14" s="60"/>
      <c r="S14" s="31"/>
      <c r="T14" s="61"/>
      <c r="U14" s="60"/>
      <c r="V14" s="31"/>
      <c r="W14" s="61"/>
      <c r="X14" s="60"/>
      <c r="Y14" s="31"/>
      <c r="Z14" s="61"/>
      <c r="AA14" s="60"/>
      <c r="AB14" s="31"/>
      <c r="AC14" s="61"/>
      <c r="AD14" s="60"/>
      <c r="AE14" s="31"/>
      <c r="AF14" s="61"/>
      <c r="AG14" s="60"/>
      <c r="AH14" s="31"/>
      <c r="AI14" s="61"/>
      <c r="AJ14" s="60"/>
      <c r="AK14" s="31"/>
      <c r="AL14" s="61"/>
      <c r="AM14" s="60"/>
      <c r="AN14" s="31"/>
      <c r="AO14" s="61"/>
      <c r="AP14" s="60"/>
      <c r="AQ14" s="31"/>
      <c r="AR14" s="61"/>
      <c r="AS14" s="60"/>
      <c r="AT14" s="31"/>
      <c r="AU14" s="61"/>
    </row>
    <row r="15" ht="36.75" customHeight="1">
      <c r="A15" s="62"/>
      <c r="B15" s="62"/>
      <c r="C15" s="66" t="s">
        <v>144</v>
      </c>
      <c r="D15" s="56" t="s">
        <v>145</v>
      </c>
      <c r="E15" s="57" t="s">
        <v>112</v>
      </c>
      <c r="F15" s="58">
        <v>1.0</v>
      </c>
      <c r="G15" s="57">
        <v>6000.0</v>
      </c>
      <c r="H15" s="57">
        <f>'PAINEL DE CONTROLE'!$D$5</f>
        <v>13697</v>
      </c>
      <c r="I15" s="57">
        <v>100800.0</v>
      </c>
      <c r="J15" s="57">
        <f t="shared" si="1"/>
        <v>106800</v>
      </c>
      <c r="K15" s="59">
        <f t="shared" si="2"/>
        <v>93103</v>
      </c>
      <c r="L15" s="60"/>
      <c r="M15" s="31"/>
      <c r="N15" s="61"/>
      <c r="O15" s="60"/>
      <c r="P15" s="31"/>
      <c r="Q15" s="61"/>
      <c r="R15" s="60"/>
      <c r="S15" s="31"/>
      <c r="T15" s="61"/>
      <c r="U15" s="60"/>
      <c r="V15" s="31"/>
      <c r="W15" s="61"/>
      <c r="X15" s="60"/>
      <c r="Y15" s="31"/>
      <c r="Z15" s="61"/>
      <c r="AA15" s="60"/>
      <c r="AB15" s="31"/>
      <c r="AC15" s="61"/>
      <c r="AD15" s="60"/>
      <c r="AE15" s="31"/>
      <c r="AF15" s="61"/>
      <c r="AG15" s="60"/>
      <c r="AH15" s="31"/>
      <c r="AI15" s="61"/>
      <c r="AJ15" s="60"/>
      <c r="AK15" s="31"/>
      <c r="AL15" s="61"/>
      <c r="AM15" s="60"/>
      <c r="AN15" s="31"/>
      <c r="AO15" s="61"/>
      <c r="AP15" s="60"/>
      <c r="AQ15" s="31"/>
      <c r="AR15" s="61"/>
      <c r="AS15" s="60"/>
      <c r="AT15" s="31"/>
      <c r="AU15" s="61"/>
    </row>
    <row r="16" ht="36.75" customHeight="1">
      <c r="A16" s="63"/>
      <c r="B16" s="63"/>
      <c r="C16" s="66" t="s">
        <v>146</v>
      </c>
      <c r="D16" s="56" t="s">
        <v>147</v>
      </c>
      <c r="E16" s="57" t="s">
        <v>112</v>
      </c>
      <c r="F16" s="58">
        <v>1.0</v>
      </c>
      <c r="G16" s="57">
        <v>6000.0</v>
      </c>
      <c r="H16" s="57">
        <f>'PAINEL DE CONTROLE'!$D$5</f>
        <v>13697</v>
      </c>
      <c r="I16" s="57">
        <v>100800.0</v>
      </c>
      <c r="J16" s="57">
        <f t="shared" si="1"/>
        <v>106800</v>
      </c>
      <c r="K16" s="59">
        <f t="shared" si="2"/>
        <v>93103</v>
      </c>
      <c r="L16" s="60"/>
      <c r="M16" s="31"/>
      <c r="N16" s="61"/>
      <c r="O16" s="60"/>
      <c r="P16" s="31"/>
      <c r="Q16" s="61"/>
      <c r="R16" s="60"/>
      <c r="S16" s="31"/>
      <c r="T16" s="61"/>
      <c r="U16" s="60"/>
      <c r="V16" s="31"/>
      <c r="W16" s="61"/>
      <c r="X16" s="60"/>
      <c r="Y16" s="31"/>
      <c r="Z16" s="61"/>
      <c r="AA16" s="60"/>
      <c r="AB16" s="31"/>
      <c r="AC16" s="61"/>
      <c r="AD16" s="60"/>
      <c r="AE16" s="31"/>
      <c r="AF16" s="61"/>
      <c r="AG16" s="60"/>
      <c r="AH16" s="31"/>
      <c r="AI16" s="61"/>
      <c r="AJ16" s="60"/>
      <c r="AK16" s="31"/>
      <c r="AL16" s="61"/>
      <c r="AM16" s="60"/>
      <c r="AN16" s="31"/>
      <c r="AO16" s="61"/>
      <c r="AP16" s="60"/>
      <c r="AQ16" s="31"/>
      <c r="AR16" s="61"/>
      <c r="AS16" s="60"/>
      <c r="AT16" s="31"/>
      <c r="AU16" s="61"/>
    </row>
    <row r="17" ht="36.75" customHeight="1">
      <c r="A17" s="67" t="s">
        <v>148</v>
      </c>
      <c r="B17" s="68">
        <v>812.0</v>
      </c>
      <c r="C17" s="69" t="str">
        <f>VLOOKUP(D17,'[1]2-Saldos em Estoque'!A7:C33552,2,0)</f>
        <v>#REF!</v>
      </c>
      <c r="D17" s="50" t="s">
        <v>149</v>
      </c>
      <c r="E17" s="50" t="s">
        <v>150</v>
      </c>
      <c r="F17" s="52">
        <v>1.0</v>
      </c>
      <c r="G17" s="50">
        <v>2000.0</v>
      </c>
      <c r="H17" s="51">
        <f>'PAINEL DE CONTROLE'!$D$5</f>
        <v>13697</v>
      </c>
      <c r="I17" s="50">
        <v>100800.0</v>
      </c>
      <c r="J17" s="50">
        <f t="shared" si="1"/>
        <v>102800</v>
      </c>
      <c r="K17" s="54">
        <f t="shared" si="2"/>
        <v>89103</v>
      </c>
      <c r="L17" s="60"/>
      <c r="M17" s="31"/>
      <c r="N17" s="61"/>
      <c r="O17" s="60"/>
      <c r="P17" s="31"/>
      <c r="Q17" s="61"/>
      <c r="R17" s="60"/>
      <c r="S17" s="31"/>
      <c r="T17" s="61"/>
      <c r="U17" s="60"/>
      <c r="V17" s="31"/>
      <c r="W17" s="61"/>
      <c r="X17" s="60"/>
      <c r="Y17" s="31"/>
      <c r="Z17" s="61"/>
      <c r="AA17" s="60"/>
      <c r="AB17" s="31"/>
      <c r="AC17" s="61"/>
      <c r="AD17" s="60"/>
      <c r="AE17" s="31"/>
      <c r="AF17" s="61"/>
      <c r="AG17" s="60"/>
      <c r="AH17" s="31"/>
      <c r="AI17" s="61"/>
      <c r="AJ17" s="60"/>
      <c r="AK17" s="31"/>
      <c r="AL17" s="61"/>
      <c r="AM17" s="60"/>
      <c r="AN17" s="31"/>
      <c r="AO17" s="61"/>
      <c r="AP17" s="60"/>
      <c r="AQ17" s="31"/>
      <c r="AR17" s="61"/>
      <c r="AS17" s="60"/>
      <c r="AT17" s="31"/>
      <c r="AU17" s="61"/>
    </row>
    <row r="18" ht="36.75" customHeight="1">
      <c r="A18" s="62"/>
      <c r="B18" s="70">
        <v>813.0</v>
      </c>
      <c r="C18" s="71" t="s">
        <v>151</v>
      </c>
      <c r="D18" s="3"/>
      <c r="E18" s="50" t="s">
        <v>152</v>
      </c>
      <c r="F18" s="52">
        <v>1.0</v>
      </c>
      <c r="G18" s="50">
        <v>6000.0</v>
      </c>
      <c r="H18" s="51">
        <f>'PAINEL DE CONTROLE'!$D$5</f>
        <v>13697</v>
      </c>
      <c r="I18" s="50">
        <v>100800.0</v>
      </c>
      <c r="J18" s="50">
        <f t="shared" si="1"/>
        <v>106800</v>
      </c>
      <c r="K18" s="54">
        <f t="shared" si="2"/>
        <v>93103</v>
      </c>
      <c r="L18" s="60"/>
      <c r="M18" s="31"/>
      <c r="N18" s="61"/>
      <c r="O18" s="60"/>
      <c r="P18" s="31"/>
      <c r="Q18" s="61"/>
      <c r="R18" s="60"/>
      <c r="S18" s="31"/>
      <c r="T18" s="61"/>
      <c r="U18" s="60"/>
      <c r="V18" s="31"/>
      <c r="W18" s="61"/>
      <c r="X18" s="60"/>
      <c r="Y18" s="31"/>
      <c r="Z18" s="61"/>
      <c r="AA18" s="60"/>
      <c r="AB18" s="31"/>
      <c r="AC18" s="61"/>
      <c r="AD18" s="60"/>
      <c r="AE18" s="31"/>
      <c r="AF18" s="61"/>
      <c r="AG18" s="60"/>
      <c r="AH18" s="31"/>
      <c r="AI18" s="61"/>
      <c r="AJ18" s="60"/>
      <c r="AK18" s="31"/>
      <c r="AL18" s="61"/>
      <c r="AM18" s="60"/>
      <c r="AN18" s="31"/>
      <c r="AO18" s="61"/>
      <c r="AP18" s="60"/>
      <c r="AQ18" s="31"/>
      <c r="AR18" s="61"/>
      <c r="AS18" s="60"/>
      <c r="AT18" s="31"/>
      <c r="AU18" s="61"/>
    </row>
    <row r="19" ht="36.75" customHeight="1">
      <c r="A19" s="63"/>
      <c r="B19" s="63"/>
      <c r="C19" s="71" t="s">
        <v>153</v>
      </c>
      <c r="D19" s="3"/>
      <c r="E19" s="50" t="s">
        <v>154</v>
      </c>
      <c r="F19" s="52">
        <v>1.0</v>
      </c>
      <c r="G19" s="50">
        <v>6000.0</v>
      </c>
      <c r="H19" s="51">
        <f>'PAINEL DE CONTROLE'!$D$5</f>
        <v>13697</v>
      </c>
      <c r="I19" s="50">
        <v>100800.0</v>
      </c>
      <c r="J19" s="50">
        <f t="shared" si="1"/>
        <v>106800</v>
      </c>
      <c r="K19" s="54">
        <f t="shared" si="2"/>
        <v>93103</v>
      </c>
      <c r="L19" s="60"/>
      <c r="M19" s="31"/>
      <c r="N19" s="61"/>
      <c r="O19" s="60"/>
      <c r="P19" s="31"/>
      <c r="Q19" s="61"/>
      <c r="R19" s="60"/>
      <c r="S19" s="31"/>
      <c r="T19" s="61"/>
      <c r="U19" s="60"/>
      <c r="V19" s="31"/>
      <c r="W19" s="61"/>
      <c r="X19" s="60"/>
      <c r="Y19" s="31"/>
      <c r="Z19" s="61"/>
      <c r="AA19" s="60"/>
      <c r="AB19" s="31"/>
      <c r="AC19" s="61"/>
      <c r="AD19" s="60"/>
      <c r="AE19" s="31"/>
      <c r="AF19" s="61"/>
      <c r="AG19" s="60"/>
      <c r="AH19" s="31"/>
      <c r="AI19" s="61"/>
      <c r="AJ19" s="60"/>
      <c r="AK19" s="31"/>
      <c r="AL19" s="61"/>
      <c r="AM19" s="60"/>
      <c r="AN19" s="31"/>
      <c r="AO19" s="61"/>
      <c r="AP19" s="60"/>
      <c r="AQ19" s="31"/>
      <c r="AR19" s="61"/>
      <c r="AS19" s="60"/>
      <c r="AT19" s="31"/>
      <c r="AU19" s="61"/>
    </row>
    <row r="20" ht="36.75" customHeight="1">
      <c r="A20" s="72" t="s">
        <v>155</v>
      </c>
      <c r="B20" s="73" t="s">
        <v>156</v>
      </c>
      <c r="C20" s="74" t="s">
        <v>157</v>
      </c>
      <c r="D20" s="57" t="s">
        <v>158</v>
      </c>
      <c r="E20" s="75" t="s">
        <v>159</v>
      </c>
      <c r="F20" s="58">
        <v>1.0</v>
      </c>
      <c r="G20" s="57">
        <v>2000.0</v>
      </c>
      <c r="H20" s="57">
        <f>'PAINEL DE CONTROLE'!$D$5</f>
        <v>13697</v>
      </c>
      <c r="I20" s="57">
        <v>100800.0</v>
      </c>
      <c r="J20" s="57">
        <f t="shared" si="1"/>
        <v>102800</v>
      </c>
      <c r="K20" s="59">
        <f t="shared" si="2"/>
        <v>89103</v>
      </c>
      <c r="L20" s="60"/>
      <c r="M20" s="31"/>
      <c r="N20" s="61"/>
      <c r="O20" s="60"/>
      <c r="P20" s="31"/>
      <c r="Q20" s="61"/>
      <c r="R20" s="60"/>
      <c r="S20" s="31"/>
      <c r="T20" s="61"/>
      <c r="U20" s="60"/>
      <c r="V20" s="31"/>
      <c r="W20" s="61"/>
      <c r="X20" s="60"/>
      <c r="Y20" s="31"/>
      <c r="Z20" s="61"/>
      <c r="AA20" s="60"/>
      <c r="AB20" s="31"/>
      <c r="AC20" s="61"/>
      <c r="AD20" s="60"/>
      <c r="AE20" s="31"/>
      <c r="AF20" s="61"/>
      <c r="AG20" s="60"/>
      <c r="AH20" s="31"/>
      <c r="AI20" s="61"/>
      <c r="AJ20" s="60"/>
      <c r="AK20" s="31"/>
      <c r="AL20" s="61"/>
      <c r="AM20" s="60"/>
      <c r="AN20" s="31"/>
      <c r="AO20" s="61"/>
      <c r="AP20" s="60"/>
      <c r="AQ20" s="31"/>
      <c r="AR20" s="61"/>
      <c r="AS20" s="60"/>
      <c r="AT20" s="31"/>
      <c r="AU20" s="61"/>
    </row>
    <row r="21" ht="36.75" customHeight="1">
      <c r="A21" s="62"/>
      <c r="B21" s="72" t="s">
        <v>160</v>
      </c>
      <c r="C21" s="76" t="s">
        <v>151</v>
      </c>
      <c r="D21" s="3"/>
      <c r="E21" s="57" t="s">
        <v>152</v>
      </c>
      <c r="F21" s="58">
        <v>1.0</v>
      </c>
      <c r="G21" s="57">
        <v>6000.0</v>
      </c>
      <c r="H21" s="57">
        <f>'PAINEL DE CONTROLE'!$D$5</f>
        <v>13697</v>
      </c>
      <c r="I21" s="57">
        <v>100800.0</v>
      </c>
      <c r="J21" s="57">
        <f t="shared" si="1"/>
        <v>106800</v>
      </c>
      <c r="K21" s="59">
        <f t="shared" si="2"/>
        <v>93103</v>
      </c>
      <c r="L21" s="60"/>
      <c r="M21" s="31"/>
      <c r="N21" s="61"/>
      <c r="O21" s="60"/>
      <c r="P21" s="31"/>
      <c r="Q21" s="61"/>
      <c r="R21" s="60"/>
      <c r="S21" s="31"/>
      <c r="T21" s="61"/>
      <c r="U21" s="60"/>
      <c r="V21" s="31"/>
      <c r="W21" s="61"/>
      <c r="X21" s="60"/>
      <c r="Y21" s="31"/>
      <c r="Z21" s="61"/>
      <c r="AA21" s="60"/>
      <c r="AB21" s="31"/>
      <c r="AC21" s="61"/>
      <c r="AD21" s="60"/>
      <c r="AE21" s="31"/>
      <c r="AF21" s="61"/>
      <c r="AG21" s="60"/>
      <c r="AH21" s="31"/>
      <c r="AI21" s="61"/>
      <c r="AJ21" s="60"/>
      <c r="AK21" s="31"/>
      <c r="AL21" s="61"/>
      <c r="AM21" s="60"/>
      <c r="AN21" s="31"/>
      <c r="AO21" s="61"/>
      <c r="AP21" s="60"/>
      <c r="AQ21" s="31"/>
      <c r="AR21" s="61"/>
      <c r="AS21" s="60"/>
      <c r="AT21" s="31"/>
      <c r="AU21" s="61"/>
    </row>
    <row r="22" ht="36.75" customHeight="1">
      <c r="A22" s="63"/>
      <c r="B22" s="63"/>
      <c r="C22" s="76" t="s">
        <v>153</v>
      </c>
      <c r="D22" s="3"/>
      <c r="E22" s="57" t="s">
        <v>154</v>
      </c>
      <c r="F22" s="58">
        <v>1.0</v>
      </c>
      <c r="G22" s="57">
        <v>6000.0</v>
      </c>
      <c r="H22" s="57">
        <f>'PAINEL DE CONTROLE'!$D$5</f>
        <v>13697</v>
      </c>
      <c r="I22" s="57">
        <v>100800.0</v>
      </c>
      <c r="J22" s="57">
        <f t="shared" si="1"/>
        <v>106800</v>
      </c>
      <c r="K22" s="59">
        <f t="shared" si="2"/>
        <v>93103</v>
      </c>
      <c r="L22" s="60"/>
      <c r="M22" s="31"/>
      <c r="N22" s="61"/>
      <c r="O22" s="60"/>
      <c r="P22" s="31"/>
      <c r="Q22" s="61"/>
      <c r="R22" s="60"/>
      <c r="S22" s="31"/>
      <c r="T22" s="61"/>
      <c r="U22" s="60"/>
      <c r="V22" s="31"/>
      <c r="W22" s="61"/>
      <c r="X22" s="60"/>
      <c r="Y22" s="31"/>
      <c r="Z22" s="61"/>
      <c r="AA22" s="60"/>
      <c r="AB22" s="31"/>
      <c r="AC22" s="61"/>
      <c r="AD22" s="60"/>
      <c r="AE22" s="31"/>
      <c r="AF22" s="61"/>
      <c r="AG22" s="60"/>
      <c r="AH22" s="31"/>
      <c r="AI22" s="61"/>
      <c r="AJ22" s="60"/>
      <c r="AK22" s="31"/>
      <c r="AL22" s="61"/>
      <c r="AM22" s="60"/>
      <c r="AN22" s="31"/>
      <c r="AO22" s="61"/>
      <c r="AP22" s="60"/>
      <c r="AQ22" s="31"/>
      <c r="AR22" s="61"/>
      <c r="AS22" s="60"/>
      <c r="AT22" s="31"/>
      <c r="AU22" s="61"/>
    </row>
    <row r="23" ht="36.75" customHeight="1">
      <c r="A23" s="77" t="s">
        <v>161</v>
      </c>
      <c r="B23" s="78" t="s">
        <v>162</v>
      </c>
      <c r="C23" s="69" t="s">
        <v>163</v>
      </c>
      <c r="D23" s="50" t="s">
        <v>164</v>
      </c>
      <c r="E23" s="50" t="s">
        <v>165</v>
      </c>
      <c r="F23" s="52">
        <v>1.0</v>
      </c>
      <c r="G23" s="50">
        <v>2000.0</v>
      </c>
      <c r="H23" s="51">
        <f>'PAINEL DE CONTROLE'!$D$5</f>
        <v>13697</v>
      </c>
      <c r="I23" s="50">
        <v>100800.0</v>
      </c>
      <c r="J23" s="50">
        <f t="shared" si="1"/>
        <v>102800</v>
      </c>
      <c r="K23" s="54">
        <f t="shared" si="2"/>
        <v>89103</v>
      </c>
      <c r="L23" s="60"/>
      <c r="M23" s="31"/>
      <c r="N23" s="61"/>
      <c r="O23" s="60"/>
      <c r="P23" s="31"/>
      <c r="Q23" s="61"/>
      <c r="R23" s="60"/>
      <c r="S23" s="31"/>
      <c r="T23" s="61"/>
      <c r="U23" s="60"/>
      <c r="V23" s="31"/>
      <c r="W23" s="61"/>
      <c r="X23" s="60"/>
      <c r="Y23" s="31"/>
      <c r="Z23" s="61"/>
      <c r="AA23" s="60"/>
      <c r="AB23" s="31"/>
      <c r="AC23" s="61"/>
      <c r="AD23" s="60"/>
      <c r="AE23" s="31"/>
      <c r="AF23" s="61"/>
      <c r="AG23" s="60"/>
      <c r="AH23" s="31"/>
      <c r="AI23" s="61"/>
      <c r="AJ23" s="60"/>
      <c r="AK23" s="31"/>
      <c r="AL23" s="61"/>
      <c r="AM23" s="60"/>
      <c r="AN23" s="31"/>
      <c r="AO23" s="61"/>
      <c r="AP23" s="60"/>
      <c r="AQ23" s="31"/>
      <c r="AR23" s="61"/>
      <c r="AS23" s="60"/>
      <c r="AT23" s="31"/>
      <c r="AU23" s="61"/>
    </row>
    <row r="24" ht="36.75" customHeight="1">
      <c r="A24" s="62"/>
      <c r="B24" s="77" t="s">
        <v>166</v>
      </c>
      <c r="C24" s="71" t="s">
        <v>167</v>
      </c>
      <c r="D24" s="3"/>
      <c r="E24" s="50" t="s">
        <v>168</v>
      </c>
      <c r="F24" s="52">
        <v>1.0</v>
      </c>
      <c r="G24" s="50">
        <v>6000.0</v>
      </c>
      <c r="H24" s="51">
        <f>'PAINEL DE CONTROLE'!$D$5</f>
        <v>13697</v>
      </c>
      <c r="I24" s="50">
        <v>100800.0</v>
      </c>
      <c r="J24" s="50">
        <f t="shared" si="1"/>
        <v>106800</v>
      </c>
      <c r="K24" s="54">
        <f t="shared" si="2"/>
        <v>93103</v>
      </c>
      <c r="L24" s="60"/>
      <c r="M24" s="31"/>
      <c r="N24" s="61"/>
      <c r="O24" s="60"/>
      <c r="P24" s="31"/>
      <c r="Q24" s="61"/>
      <c r="R24" s="60"/>
      <c r="S24" s="31"/>
      <c r="T24" s="61"/>
      <c r="U24" s="60"/>
      <c r="V24" s="31"/>
      <c r="W24" s="61"/>
      <c r="X24" s="60"/>
      <c r="Y24" s="31"/>
      <c r="Z24" s="61"/>
      <c r="AA24" s="60"/>
      <c r="AB24" s="31"/>
      <c r="AC24" s="61"/>
      <c r="AD24" s="60"/>
      <c r="AE24" s="31"/>
      <c r="AF24" s="61"/>
      <c r="AG24" s="60"/>
      <c r="AH24" s="31"/>
      <c r="AI24" s="61"/>
      <c r="AJ24" s="60"/>
      <c r="AK24" s="31"/>
      <c r="AL24" s="61"/>
      <c r="AM24" s="60"/>
      <c r="AN24" s="31"/>
      <c r="AO24" s="61"/>
      <c r="AP24" s="60"/>
      <c r="AQ24" s="31"/>
      <c r="AR24" s="61"/>
      <c r="AS24" s="60"/>
      <c r="AT24" s="31"/>
      <c r="AU24" s="61"/>
    </row>
    <row r="25" ht="36.75" customHeight="1">
      <c r="A25" s="63"/>
      <c r="B25" s="63"/>
      <c r="C25" s="71" t="s">
        <v>169</v>
      </c>
      <c r="D25" s="3"/>
      <c r="E25" s="50" t="s">
        <v>170</v>
      </c>
      <c r="F25" s="52">
        <v>1.0</v>
      </c>
      <c r="G25" s="50">
        <v>6000.0</v>
      </c>
      <c r="H25" s="51">
        <f>'PAINEL DE CONTROLE'!$D$5</f>
        <v>13697</v>
      </c>
      <c r="I25" s="50">
        <v>100800.0</v>
      </c>
      <c r="J25" s="50">
        <f t="shared" si="1"/>
        <v>106800</v>
      </c>
      <c r="K25" s="54">
        <f t="shared" si="2"/>
        <v>93103</v>
      </c>
      <c r="L25" s="60"/>
      <c r="M25" s="31"/>
      <c r="N25" s="61"/>
      <c r="O25" s="60"/>
      <c r="P25" s="31"/>
      <c r="Q25" s="61"/>
      <c r="R25" s="60"/>
      <c r="S25" s="31"/>
      <c r="T25" s="61"/>
      <c r="U25" s="60"/>
      <c r="V25" s="31"/>
      <c r="W25" s="61"/>
      <c r="X25" s="60"/>
      <c r="Y25" s="31"/>
      <c r="Z25" s="61"/>
      <c r="AA25" s="60"/>
      <c r="AB25" s="31"/>
      <c r="AC25" s="61"/>
      <c r="AD25" s="60"/>
      <c r="AE25" s="31"/>
      <c r="AF25" s="61"/>
      <c r="AG25" s="60"/>
      <c r="AH25" s="31"/>
      <c r="AI25" s="61"/>
      <c r="AJ25" s="60"/>
      <c r="AK25" s="31"/>
      <c r="AL25" s="61"/>
      <c r="AM25" s="60"/>
      <c r="AN25" s="31"/>
      <c r="AO25" s="61"/>
      <c r="AP25" s="60"/>
      <c r="AQ25" s="31"/>
      <c r="AR25" s="61"/>
      <c r="AS25" s="60"/>
      <c r="AT25" s="31"/>
      <c r="AU25" s="61"/>
    </row>
    <row r="26" ht="36.75" customHeight="1">
      <c r="A26" s="79" t="s">
        <v>171</v>
      </c>
      <c r="B26" s="79" t="s">
        <v>172</v>
      </c>
      <c r="C26" s="80" t="s">
        <v>173</v>
      </c>
      <c r="D26" s="80" t="s">
        <v>174</v>
      </c>
      <c r="E26" s="57" t="s">
        <v>175</v>
      </c>
      <c r="F26" s="58">
        <v>1.0</v>
      </c>
      <c r="G26" s="57">
        <v>2000.0</v>
      </c>
      <c r="H26" s="57">
        <f>'PAINEL DE CONTROLE'!$D$5</f>
        <v>13697</v>
      </c>
      <c r="I26" s="57"/>
      <c r="J26" s="57">
        <f t="shared" si="1"/>
        <v>2000</v>
      </c>
      <c r="K26" s="54">
        <f t="shared" si="2"/>
        <v>-11697</v>
      </c>
      <c r="L26" s="60"/>
      <c r="M26" s="31"/>
      <c r="N26" s="61"/>
      <c r="O26" s="60"/>
      <c r="P26" s="31"/>
      <c r="Q26" s="61"/>
      <c r="R26" s="60"/>
      <c r="S26" s="31"/>
      <c r="T26" s="61"/>
      <c r="U26" s="60"/>
      <c r="V26" s="31"/>
      <c r="W26" s="61"/>
      <c r="X26" s="60"/>
      <c r="Y26" s="31"/>
      <c r="Z26" s="61"/>
      <c r="AA26" s="60"/>
      <c r="AB26" s="31"/>
      <c r="AC26" s="61"/>
      <c r="AD26" s="60"/>
      <c r="AE26" s="31"/>
      <c r="AF26" s="61"/>
      <c r="AG26" s="60"/>
      <c r="AH26" s="31"/>
      <c r="AI26" s="61"/>
      <c r="AJ26" s="60"/>
      <c r="AK26" s="31"/>
      <c r="AL26" s="61"/>
      <c r="AM26" s="60"/>
      <c r="AN26" s="31"/>
      <c r="AO26" s="61"/>
      <c r="AP26" s="60"/>
      <c r="AQ26" s="31"/>
      <c r="AR26" s="61"/>
      <c r="AS26" s="60"/>
      <c r="AT26" s="31"/>
      <c r="AU26" s="61"/>
    </row>
    <row r="27" ht="36.75" customHeight="1">
      <c r="A27" s="62"/>
      <c r="B27" s="62"/>
      <c r="C27" s="80" t="s">
        <v>176</v>
      </c>
      <c r="D27" s="80" t="s">
        <v>177</v>
      </c>
      <c r="E27" s="57" t="s">
        <v>178</v>
      </c>
      <c r="F27" s="58">
        <v>1.0</v>
      </c>
      <c r="G27" s="57">
        <v>2000.0</v>
      </c>
      <c r="H27" s="57">
        <f>'PAINEL DE CONTROLE'!$D$5</f>
        <v>13697</v>
      </c>
      <c r="I27" s="57"/>
      <c r="J27" s="57">
        <f t="shared" si="1"/>
        <v>2000</v>
      </c>
      <c r="K27" s="54">
        <f t="shared" si="2"/>
        <v>-11697</v>
      </c>
      <c r="L27" s="60"/>
      <c r="M27" s="31"/>
      <c r="N27" s="61"/>
      <c r="O27" s="60"/>
      <c r="P27" s="31"/>
      <c r="Q27" s="61"/>
      <c r="R27" s="60"/>
      <c r="S27" s="31"/>
      <c r="T27" s="61"/>
      <c r="U27" s="60"/>
      <c r="V27" s="31"/>
      <c r="W27" s="61"/>
      <c r="X27" s="60"/>
      <c r="Y27" s="31"/>
      <c r="Z27" s="61"/>
      <c r="AA27" s="60"/>
      <c r="AB27" s="31"/>
      <c r="AC27" s="61"/>
      <c r="AD27" s="60"/>
      <c r="AE27" s="31"/>
      <c r="AF27" s="61"/>
      <c r="AG27" s="60"/>
      <c r="AH27" s="31"/>
      <c r="AI27" s="61"/>
      <c r="AJ27" s="60"/>
      <c r="AK27" s="31"/>
      <c r="AL27" s="61"/>
      <c r="AM27" s="60"/>
      <c r="AN27" s="31"/>
      <c r="AO27" s="61"/>
      <c r="AP27" s="60"/>
      <c r="AQ27" s="31"/>
      <c r="AR27" s="61"/>
      <c r="AS27" s="60"/>
      <c r="AT27" s="31"/>
      <c r="AU27" s="61"/>
    </row>
    <row r="28" ht="36.75" customHeight="1">
      <c r="A28" s="62"/>
      <c r="B28" s="63"/>
      <c r="C28" s="80" t="s">
        <v>179</v>
      </c>
      <c r="D28" s="80" t="s">
        <v>180</v>
      </c>
      <c r="E28" s="57" t="s">
        <v>181</v>
      </c>
      <c r="F28" s="58">
        <v>1.0</v>
      </c>
      <c r="G28" s="57">
        <v>2000.0</v>
      </c>
      <c r="H28" s="57">
        <f>'PAINEL DE CONTROLE'!$D$5</f>
        <v>13697</v>
      </c>
      <c r="I28" s="57"/>
      <c r="J28" s="57">
        <f t="shared" si="1"/>
        <v>2000</v>
      </c>
      <c r="K28" s="54">
        <f t="shared" si="2"/>
        <v>-11697</v>
      </c>
      <c r="L28" s="60"/>
      <c r="M28" s="31"/>
      <c r="N28" s="61"/>
      <c r="O28" s="60"/>
      <c r="P28" s="31"/>
      <c r="Q28" s="61"/>
      <c r="R28" s="60"/>
      <c r="S28" s="31"/>
      <c r="T28" s="61"/>
      <c r="U28" s="60"/>
      <c r="V28" s="31"/>
      <c r="W28" s="61"/>
      <c r="X28" s="60"/>
      <c r="Y28" s="31"/>
      <c r="Z28" s="61"/>
      <c r="AA28" s="60"/>
      <c r="AB28" s="31"/>
      <c r="AC28" s="61"/>
      <c r="AD28" s="60"/>
      <c r="AE28" s="31"/>
      <c r="AF28" s="61"/>
      <c r="AG28" s="60"/>
      <c r="AH28" s="31"/>
      <c r="AI28" s="61"/>
      <c r="AJ28" s="60"/>
      <c r="AK28" s="31"/>
      <c r="AL28" s="61"/>
      <c r="AM28" s="60"/>
      <c r="AN28" s="31"/>
      <c r="AO28" s="61"/>
      <c r="AP28" s="60"/>
      <c r="AQ28" s="31"/>
      <c r="AR28" s="61"/>
      <c r="AS28" s="60"/>
      <c r="AT28" s="31"/>
      <c r="AU28" s="61"/>
    </row>
    <row r="29" ht="36.75" customHeight="1">
      <c r="A29" s="62"/>
      <c r="B29" s="79" t="s">
        <v>182</v>
      </c>
      <c r="C29" s="81" t="s">
        <v>183</v>
      </c>
      <c r="D29" s="3"/>
      <c r="E29" s="57" t="s">
        <v>184</v>
      </c>
      <c r="F29" s="58">
        <v>1.0</v>
      </c>
      <c r="G29" s="57">
        <v>6000.0</v>
      </c>
      <c r="H29" s="57">
        <f>'PAINEL DE CONTROLE'!$D$5</f>
        <v>13697</v>
      </c>
      <c r="I29" s="57"/>
      <c r="J29" s="57">
        <f t="shared" si="1"/>
        <v>6000</v>
      </c>
      <c r="K29" s="54">
        <f t="shared" si="2"/>
        <v>-7697</v>
      </c>
      <c r="L29" s="60"/>
      <c r="M29" s="31"/>
      <c r="N29" s="61"/>
      <c r="O29" s="60"/>
      <c r="P29" s="31"/>
      <c r="Q29" s="61"/>
      <c r="R29" s="60"/>
      <c r="S29" s="31"/>
      <c r="T29" s="61"/>
      <c r="U29" s="60"/>
      <c r="V29" s="31"/>
      <c r="W29" s="61"/>
      <c r="X29" s="60"/>
      <c r="Y29" s="31"/>
      <c r="Z29" s="61"/>
      <c r="AA29" s="60"/>
      <c r="AB29" s="31"/>
      <c r="AC29" s="61"/>
      <c r="AD29" s="60"/>
      <c r="AE29" s="31"/>
      <c r="AF29" s="61"/>
      <c r="AG29" s="60"/>
      <c r="AH29" s="31"/>
      <c r="AI29" s="61"/>
      <c r="AJ29" s="60"/>
      <c r="AK29" s="31"/>
      <c r="AL29" s="61"/>
      <c r="AM29" s="60"/>
      <c r="AN29" s="31"/>
      <c r="AO29" s="61"/>
      <c r="AP29" s="60"/>
      <c r="AQ29" s="31"/>
      <c r="AR29" s="61"/>
      <c r="AS29" s="60"/>
      <c r="AT29" s="31"/>
      <c r="AU29" s="61"/>
    </row>
    <row r="30" ht="36.75" customHeight="1">
      <c r="A30" s="63"/>
      <c r="B30" s="63"/>
      <c r="C30" s="81" t="s">
        <v>169</v>
      </c>
      <c r="D30" s="3"/>
      <c r="E30" s="57" t="s">
        <v>170</v>
      </c>
      <c r="F30" s="58">
        <v>1.0</v>
      </c>
      <c r="G30" s="57">
        <v>6000.0</v>
      </c>
      <c r="H30" s="57">
        <f>'PAINEL DE CONTROLE'!$D$5</f>
        <v>13697</v>
      </c>
      <c r="I30" s="57"/>
      <c r="J30" s="57">
        <f t="shared" si="1"/>
        <v>6000</v>
      </c>
      <c r="K30" s="54">
        <f t="shared" si="2"/>
        <v>-7697</v>
      </c>
      <c r="L30" s="60"/>
      <c r="M30" s="31"/>
      <c r="N30" s="61"/>
      <c r="O30" s="60"/>
      <c r="P30" s="31"/>
      <c r="Q30" s="61"/>
      <c r="R30" s="60"/>
      <c r="S30" s="31"/>
      <c r="T30" s="61"/>
      <c r="U30" s="60"/>
      <c r="V30" s="31"/>
      <c r="W30" s="61"/>
      <c r="X30" s="60"/>
      <c r="Y30" s="31"/>
      <c r="Z30" s="61"/>
      <c r="AA30" s="60"/>
      <c r="AB30" s="31"/>
      <c r="AC30" s="61"/>
      <c r="AD30" s="60"/>
      <c r="AE30" s="31"/>
      <c r="AF30" s="61"/>
      <c r="AG30" s="60"/>
      <c r="AH30" s="31"/>
      <c r="AI30" s="61"/>
      <c r="AJ30" s="60"/>
      <c r="AK30" s="31"/>
      <c r="AL30" s="61"/>
      <c r="AM30" s="60"/>
      <c r="AN30" s="31"/>
      <c r="AO30" s="61"/>
      <c r="AP30" s="60"/>
      <c r="AQ30" s="31"/>
      <c r="AR30" s="61"/>
      <c r="AS30" s="60"/>
      <c r="AT30" s="31"/>
      <c r="AU30" s="61"/>
    </row>
    <row r="31" ht="36.75" customHeight="1">
      <c r="A31" s="79" t="s">
        <v>185</v>
      </c>
      <c r="B31" s="82"/>
      <c r="C31" s="80" t="s">
        <v>186</v>
      </c>
      <c r="D31" s="83" t="s">
        <v>187</v>
      </c>
      <c r="E31" s="50" t="s">
        <v>188</v>
      </c>
      <c r="F31" s="52">
        <v>1.0</v>
      </c>
      <c r="G31" s="50">
        <v>6000.0</v>
      </c>
      <c r="H31" s="51">
        <f>'PAINEL DE CONTROLE'!$D$5</f>
        <v>13697</v>
      </c>
      <c r="I31" s="50">
        <v>100800.0</v>
      </c>
      <c r="J31" s="50">
        <f t="shared" si="1"/>
        <v>106800</v>
      </c>
      <c r="K31" s="54">
        <f t="shared" si="2"/>
        <v>93103</v>
      </c>
      <c r="L31" s="60"/>
      <c r="M31" s="31"/>
      <c r="N31" s="61"/>
      <c r="O31" s="60"/>
      <c r="P31" s="31"/>
      <c r="Q31" s="61"/>
      <c r="R31" s="60"/>
      <c r="S31" s="31"/>
      <c r="T31" s="61"/>
      <c r="U31" s="60"/>
      <c r="V31" s="31"/>
      <c r="W31" s="61"/>
      <c r="X31" s="60"/>
      <c r="Y31" s="31"/>
      <c r="Z31" s="61"/>
      <c r="AA31" s="60"/>
      <c r="AB31" s="31"/>
      <c r="AC31" s="61"/>
      <c r="AD31" s="60"/>
      <c r="AE31" s="31"/>
      <c r="AF31" s="61"/>
      <c r="AG31" s="60"/>
      <c r="AH31" s="31"/>
      <c r="AI31" s="61"/>
      <c r="AJ31" s="60"/>
      <c r="AK31" s="31"/>
      <c r="AL31" s="61"/>
      <c r="AM31" s="60"/>
      <c r="AN31" s="31"/>
      <c r="AO31" s="61"/>
      <c r="AP31" s="60"/>
      <c r="AQ31" s="31"/>
      <c r="AR31" s="61"/>
      <c r="AS31" s="60"/>
      <c r="AT31" s="31"/>
      <c r="AU31" s="61"/>
    </row>
    <row r="32" ht="36.75" customHeight="1">
      <c r="A32" s="62"/>
      <c r="B32" s="79"/>
      <c r="C32" s="81" t="s">
        <v>151</v>
      </c>
      <c r="D32" s="3"/>
      <c r="E32" s="50" t="s">
        <v>152</v>
      </c>
      <c r="F32" s="52">
        <v>1.0</v>
      </c>
      <c r="G32" s="50">
        <v>6000.0</v>
      </c>
      <c r="H32" s="51">
        <f>'PAINEL DE CONTROLE'!$D$5</f>
        <v>13697</v>
      </c>
      <c r="I32" s="50">
        <v>100800.0</v>
      </c>
      <c r="J32" s="50">
        <f t="shared" si="1"/>
        <v>106800</v>
      </c>
      <c r="K32" s="54">
        <f t="shared" si="2"/>
        <v>93103</v>
      </c>
      <c r="L32" s="60"/>
      <c r="M32" s="31"/>
      <c r="N32" s="61"/>
      <c r="O32" s="60"/>
      <c r="P32" s="31"/>
      <c r="Q32" s="61"/>
      <c r="R32" s="60"/>
      <c r="S32" s="31"/>
      <c r="T32" s="61"/>
      <c r="U32" s="60"/>
      <c r="V32" s="31"/>
      <c r="W32" s="61"/>
      <c r="X32" s="60"/>
      <c r="Y32" s="31"/>
      <c r="Z32" s="61"/>
      <c r="AA32" s="60"/>
      <c r="AB32" s="31"/>
      <c r="AC32" s="61"/>
      <c r="AD32" s="60"/>
      <c r="AE32" s="31"/>
      <c r="AF32" s="61"/>
      <c r="AG32" s="60"/>
      <c r="AH32" s="31"/>
      <c r="AI32" s="61"/>
      <c r="AJ32" s="60"/>
      <c r="AK32" s="31"/>
      <c r="AL32" s="61"/>
      <c r="AM32" s="60"/>
      <c r="AN32" s="31"/>
      <c r="AO32" s="61"/>
      <c r="AP32" s="60"/>
      <c r="AQ32" s="31"/>
      <c r="AR32" s="61"/>
      <c r="AS32" s="60"/>
      <c r="AT32" s="31"/>
      <c r="AU32" s="61"/>
    </row>
    <row r="33" ht="36.75" customHeight="1">
      <c r="A33" s="63"/>
      <c r="B33" s="63"/>
      <c r="C33" s="81" t="s">
        <v>189</v>
      </c>
      <c r="D33" s="3"/>
      <c r="E33" s="50" t="s">
        <v>190</v>
      </c>
      <c r="F33" s="52">
        <v>1.0</v>
      </c>
      <c r="G33" s="50">
        <v>6000.0</v>
      </c>
      <c r="H33" s="51">
        <f>'PAINEL DE CONTROLE'!$D$5</f>
        <v>13697</v>
      </c>
      <c r="I33" s="50">
        <v>100800.0</v>
      </c>
      <c r="J33" s="50">
        <f t="shared" si="1"/>
        <v>106800</v>
      </c>
      <c r="K33" s="54">
        <f t="shared" si="2"/>
        <v>93103</v>
      </c>
      <c r="L33" s="60"/>
      <c r="M33" s="31"/>
      <c r="N33" s="61"/>
      <c r="O33" s="60"/>
      <c r="P33" s="31"/>
      <c r="Q33" s="61"/>
      <c r="R33" s="60"/>
      <c r="S33" s="31"/>
      <c r="T33" s="61"/>
      <c r="U33" s="60"/>
      <c r="V33" s="31"/>
      <c r="W33" s="61"/>
      <c r="X33" s="60"/>
      <c r="Y33" s="31"/>
      <c r="Z33" s="61"/>
      <c r="AA33" s="60"/>
      <c r="AB33" s="31"/>
      <c r="AC33" s="61"/>
      <c r="AD33" s="60"/>
      <c r="AE33" s="31"/>
      <c r="AF33" s="61"/>
      <c r="AG33" s="60"/>
      <c r="AH33" s="31"/>
      <c r="AI33" s="61"/>
      <c r="AJ33" s="60"/>
      <c r="AK33" s="31"/>
      <c r="AL33" s="61"/>
      <c r="AM33" s="60"/>
      <c r="AN33" s="31"/>
      <c r="AO33" s="61"/>
      <c r="AP33" s="60"/>
      <c r="AQ33" s="31"/>
      <c r="AR33" s="61"/>
      <c r="AS33" s="60"/>
      <c r="AT33" s="31"/>
      <c r="AU33" s="61"/>
    </row>
    <row r="34" ht="15.75" customHeight="1">
      <c r="A34" s="73" t="s">
        <v>191</v>
      </c>
      <c r="B34" s="73" t="s">
        <v>192</v>
      </c>
      <c r="C34" s="84" t="s">
        <v>193</v>
      </c>
      <c r="D34" s="74" t="s">
        <v>194</v>
      </c>
      <c r="E34" s="57" t="s">
        <v>195</v>
      </c>
      <c r="F34" s="58">
        <v>1.0</v>
      </c>
      <c r="G34" s="57">
        <v>3000.0</v>
      </c>
      <c r="H34" s="57">
        <f>'PAINEL DE CONTROLE'!$D$5</f>
        <v>13697</v>
      </c>
      <c r="I34" s="57"/>
      <c r="J34" s="57">
        <f t="shared" si="1"/>
        <v>3000</v>
      </c>
      <c r="K34" s="54">
        <f t="shared" si="2"/>
        <v>-10697</v>
      </c>
      <c r="L34" s="60"/>
      <c r="M34" s="31"/>
      <c r="N34" s="61"/>
      <c r="O34" s="60"/>
      <c r="P34" s="31"/>
      <c r="Q34" s="61"/>
      <c r="R34" s="60"/>
      <c r="S34" s="31"/>
      <c r="T34" s="61"/>
      <c r="U34" s="60"/>
      <c r="V34" s="31"/>
      <c r="W34" s="61"/>
      <c r="X34" s="60"/>
      <c r="Y34" s="31"/>
      <c r="Z34" s="61"/>
      <c r="AA34" s="60"/>
      <c r="AB34" s="31"/>
      <c r="AC34" s="61"/>
      <c r="AD34" s="60"/>
      <c r="AE34" s="31"/>
      <c r="AF34" s="61"/>
      <c r="AG34" s="60"/>
      <c r="AH34" s="31"/>
      <c r="AI34" s="61"/>
      <c r="AJ34" s="60"/>
      <c r="AK34" s="31"/>
      <c r="AL34" s="61"/>
      <c r="AM34" s="60"/>
      <c r="AN34" s="31"/>
      <c r="AO34" s="61"/>
      <c r="AP34" s="60"/>
      <c r="AQ34" s="31"/>
      <c r="AR34" s="61"/>
      <c r="AS34" s="60"/>
      <c r="AT34" s="31"/>
      <c r="AU34" s="61"/>
    </row>
    <row r="35" ht="15.75" customHeight="1">
      <c r="A35" s="85" t="s">
        <v>196</v>
      </c>
      <c r="B35" s="78" t="s">
        <v>197</v>
      </c>
      <c r="C35" s="86" t="s">
        <v>193</v>
      </c>
      <c r="D35" s="69" t="s">
        <v>194</v>
      </c>
      <c r="E35" s="50" t="s">
        <v>195</v>
      </c>
      <c r="F35" s="52">
        <v>1.0</v>
      </c>
      <c r="G35" s="50">
        <v>3000.0</v>
      </c>
      <c r="H35" s="51">
        <f>'PAINEL DE CONTROLE'!$D$5</f>
        <v>13697</v>
      </c>
      <c r="I35" s="50"/>
      <c r="J35" s="50">
        <f t="shared" si="1"/>
        <v>3000</v>
      </c>
      <c r="K35" s="54">
        <f t="shared" si="2"/>
        <v>-10697</v>
      </c>
      <c r="L35" s="60"/>
      <c r="M35" s="31"/>
      <c r="N35" s="61"/>
      <c r="O35" s="60"/>
      <c r="P35" s="31"/>
      <c r="Q35" s="61"/>
      <c r="R35" s="60"/>
      <c r="S35" s="31"/>
      <c r="T35" s="61"/>
      <c r="U35" s="60"/>
      <c r="V35" s="31"/>
      <c r="W35" s="61"/>
      <c r="X35" s="60"/>
      <c r="Y35" s="31"/>
      <c r="Z35" s="61"/>
      <c r="AA35" s="60"/>
      <c r="AB35" s="31"/>
      <c r="AC35" s="61"/>
      <c r="AD35" s="60"/>
      <c r="AE35" s="31"/>
      <c r="AF35" s="61"/>
      <c r="AG35" s="60"/>
      <c r="AH35" s="31"/>
      <c r="AI35" s="61"/>
      <c r="AJ35" s="60"/>
      <c r="AK35" s="31"/>
      <c r="AL35" s="61"/>
      <c r="AM35" s="60"/>
      <c r="AN35" s="31"/>
      <c r="AO35" s="61"/>
      <c r="AP35" s="60"/>
      <c r="AQ35" s="31"/>
      <c r="AR35" s="61"/>
      <c r="AS35" s="60"/>
      <c r="AT35" s="31"/>
      <c r="AU35" s="61"/>
    </row>
    <row r="36" ht="47.25" customHeight="1">
      <c r="A36" s="72" t="s">
        <v>198</v>
      </c>
      <c r="B36" s="73" t="s">
        <v>199</v>
      </c>
      <c r="C36" s="75" t="str">
        <f t="shared" ref="C36:C148" si="4">VLOOKUP(D36,'[2]2-Saldos em Estoque'!$A$3:$F$37081,2,0)</f>
        <v>#REF!</v>
      </c>
      <c r="D36" s="74" t="s">
        <v>200</v>
      </c>
      <c r="E36" s="57" t="str">
        <f t="shared" ref="E36:E148" si="5">VLOOKUP(D36,'[2]2-Saldos em Estoque'!$A$3:$F$37081,3,0)</f>
        <v>#REF!</v>
      </c>
      <c r="F36" s="58">
        <v>1.0</v>
      </c>
      <c r="G36" s="57">
        <v>1000.0</v>
      </c>
      <c r="H36" s="57">
        <f>'PAINEL DE CONTROLE'!$D$5</f>
        <v>13697</v>
      </c>
      <c r="I36" s="57"/>
      <c r="J36" s="57"/>
      <c r="K36" s="54">
        <f t="shared" si="2"/>
        <v>-13697</v>
      </c>
      <c r="L36" s="60"/>
      <c r="M36" s="31"/>
      <c r="N36" s="61"/>
      <c r="O36" s="60"/>
      <c r="P36" s="31"/>
      <c r="Q36" s="61"/>
      <c r="R36" s="60"/>
      <c r="S36" s="31"/>
      <c r="T36" s="61"/>
      <c r="U36" s="60"/>
      <c r="V36" s="31"/>
      <c r="W36" s="61"/>
      <c r="X36" s="60"/>
      <c r="Y36" s="31"/>
      <c r="Z36" s="61"/>
      <c r="AA36" s="60"/>
      <c r="AB36" s="31"/>
      <c r="AC36" s="61"/>
      <c r="AD36" s="60"/>
      <c r="AE36" s="31"/>
      <c r="AF36" s="61"/>
      <c r="AG36" s="60"/>
      <c r="AH36" s="31"/>
      <c r="AI36" s="61"/>
      <c r="AJ36" s="60"/>
      <c r="AK36" s="31"/>
      <c r="AL36" s="61"/>
      <c r="AM36" s="60"/>
      <c r="AN36" s="31"/>
      <c r="AO36" s="61"/>
      <c r="AP36" s="60"/>
      <c r="AQ36" s="31"/>
      <c r="AR36" s="61"/>
      <c r="AS36" s="60"/>
      <c r="AT36" s="31"/>
      <c r="AU36" s="61"/>
    </row>
    <row r="37" ht="47.25" customHeight="1">
      <c r="A37" s="63"/>
      <c r="B37" s="73" t="s">
        <v>201</v>
      </c>
      <c r="C37" s="75" t="str">
        <f t="shared" si="4"/>
        <v>#REF!</v>
      </c>
      <c r="D37" s="74" t="s">
        <v>202</v>
      </c>
      <c r="E37" s="57" t="str">
        <f t="shared" si="5"/>
        <v>#REF!</v>
      </c>
      <c r="F37" s="58">
        <v>1.0</v>
      </c>
      <c r="G37" s="57">
        <v>6000.0</v>
      </c>
      <c r="H37" s="57">
        <f>'PAINEL DE CONTROLE'!$D$5</f>
        <v>13697</v>
      </c>
      <c r="I37" s="57"/>
      <c r="J37" s="57"/>
      <c r="K37" s="54">
        <f t="shared" si="2"/>
        <v>-13697</v>
      </c>
      <c r="L37" s="60"/>
      <c r="M37" s="31"/>
      <c r="N37" s="61"/>
      <c r="O37" s="60"/>
      <c r="P37" s="31"/>
      <c r="Q37" s="61"/>
      <c r="R37" s="60"/>
      <c r="S37" s="31"/>
      <c r="T37" s="61"/>
      <c r="U37" s="60"/>
      <c r="V37" s="31"/>
      <c r="W37" s="61"/>
      <c r="X37" s="60"/>
      <c r="Y37" s="31"/>
      <c r="Z37" s="61"/>
      <c r="AA37" s="60"/>
      <c r="AB37" s="31"/>
      <c r="AC37" s="61"/>
      <c r="AD37" s="60"/>
      <c r="AE37" s="31"/>
      <c r="AF37" s="61"/>
      <c r="AG37" s="60"/>
      <c r="AH37" s="31"/>
      <c r="AI37" s="61"/>
      <c r="AJ37" s="60"/>
      <c r="AK37" s="31"/>
      <c r="AL37" s="61"/>
      <c r="AM37" s="60"/>
      <c r="AN37" s="31"/>
      <c r="AO37" s="61"/>
      <c r="AP37" s="60"/>
      <c r="AQ37" s="31"/>
      <c r="AR37" s="61"/>
      <c r="AS37" s="60"/>
      <c r="AT37" s="31"/>
      <c r="AU37" s="61"/>
    </row>
    <row r="38" ht="36.75" customHeight="1">
      <c r="A38" s="87" t="s">
        <v>203</v>
      </c>
      <c r="B38" s="78" t="s">
        <v>204</v>
      </c>
      <c r="C38" s="88" t="str">
        <f t="shared" si="4"/>
        <v>#REF!</v>
      </c>
      <c r="D38" s="89" t="s">
        <v>205</v>
      </c>
      <c r="E38" s="51" t="str">
        <f t="shared" si="5"/>
        <v>#REF!</v>
      </c>
      <c r="F38" s="90">
        <v>1.0</v>
      </c>
      <c r="G38" s="51">
        <v>6000.0</v>
      </c>
      <c r="H38" s="51">
        <f>'PAINEL DE CONTROLE'!$D$5</f>
        <v>13697</v>
      </c>
      <c r="I38" s="51">
        <v>100800.0</v>
      </c>
      <c r="J38" s="51">
        <f t="shared" ref="J38:J41" si="6">SUM(I38+G38)</f>
        <v>106800</v>
      </c>
      <c r="K38" s="54">
        <f t="shared" si="2"/>
        <v>93103</v>
      </c>
      <c r="L38" s="60"/>
      <c r="M38" s="31"/>
      <c r="N38" s="61"/>
      <c r="O38" s="60"/>
      <c r="P38" s="31"/>
      <c r="Q38" s="61"/>
      <c r="R38" s="60"/>
      <c r="S38" s="31"/>
      <c r="T38" s="61"/>
      <c r="U38" s="60"/>
      <c r="V38" s="31"/>
      <c r="W38" s="61"/>
      <c r="X38" s="60"/>
      <c r="Y38" s="31"/>
      <c r="Z38" s="61"/>
      <c r="AA38" s="60"/>
      <c r="AB38" s="31"/>
      <c r="AC38" s="61"/>
      <c r="AD38" s="60"/>
      <c r="AE38" s="31"/>
      <c r="AF38" s="61"/>
      <c r="AG38" s="60"/>
      <c r="AH38" s="31"/>
      <c r="AI38" s="61"/>
      <c r="AJ38" s="60"/>
      <c r="AK38" s="31"/>
      <c r="AL38" s="61"/>
      <c r="AM38" s="60"/>
      <c r="AN38" s="31"/>
      <c r="AO38" s="61"/>
      <c r="AP38" s="60"/>
      <c r="AQ38" s="31"/>
      <c r="AR38" s="61"/>
      <c r="AS38" s="60"/>
      <c r="AT38" s="31"/>
      <c r="AU38" s="61"/>
    </row>
    <row r="39" ht="36.75" customHeight="1">
      <c r="A39" s="63"/>
      <c r="B39" s="78" t="s">
        <v>206</v>
      </c>
      <c r="C39" s="88" t="str">
        <f t="shared" si="4"/>
        <v>#REF!</v>
      </c>
      <c r="D39" s="89" t="s">
        <v>207</v>
      </c>
      <c r="E39" s="51" t="str">
        <f t="shared" si="5"/>
        <v>#REF!</v>
      </c>
      <c r="F39" s="90">
        <v>1.0</v>
      </c>
      <c r="G39" s="51">
        <v>2000.0</v>
      </c>
      <c r="H39" s="51">
        <f>'PAINEL DE CONTROLE'!$D$5</f>
        <v>13697</v>
      </c>
      <c r="I39" s="51">
        <v>100800.0</v>
      </c>
      <c r="J39" s="51">
        <f t="shared" si="6"/>
        <v>102800</v>
      </c>
      <c r="K39" s="54">
        <f t="shared" si="2"/>
        <v>89103</v>
      </c>
      <c r="L39" s="60"/>
      <c r="M39" s="31"/>
      <c r="N39" s="61"/>
      <c r="O39" s="60"/>
      <c r="P39" s="31"/>
      <c r="Q39" s="61"/>
      <c r="R39" s="60"/>
      <c r="S39" s="31"/>
      <c r="T39" s="61"/>
      <c r="U39" s="60"/>
      <c r="V39" s="31"/>
      <c r="W39" s="61"/>
      <c r="X39" s="60"/>
      <c r="Y39" s="31"/>
      <c r="Z39" s="61"/>
      <c r="AA39" s="60"/>
      <c r="AB39" s="31"/>
      <c r="AC39" s="61"/>
      <c r="AD39" s="60"/>
      <c r="AE39" s="31"/>
      <c r="AF39" s="61"/>
      <c r="AG39" s="60"/>
      <c r="AH39" s="31"/>
      <c r="AI39" s="61"/>
      <c r="AJ39" s="60"/>
      <c r="AK39" s="31"/>
      <c r="AL39" s="61"/>
      <c r="AM39" s="60"/>
      <c r="AN39" s="31"/>
      <c r="AO39" s="61"/>
      <c r="AP39" s="60"/>
      <c r="AQ39" s="31"/>
      <c r="AR39" s="61"/>
      <c r="AS39" s="60"/>
      <c r="AT39" s="31"/>
      <c r="AU39" s="61"/>
    </row>
    <row r="40" ht="42.0" customHeight="1">
      <c r="A40" s="72" t="s">
        <v>208</v>
      </c>
      <c r="B40" s="73" t="s">
        <v>209</v>
      </c>
      <c r="C40" s="75" t="str">
        <f t="shared" si="4"/>
        <v>#REF!</v>
      </c>
      <c r="D40" s="74" t="s">
        <v>210</v>
      </c>
      <c r="E40" s="57" t="str">
        <f t="shared" si="5"/>
        <v>#REF!</v>
      </c>
      <c r="F40" s="58">
        <v>1.0</v>
      </c>
      <c r="G40" s="57">
        <v>12000.0</v>
      </c>
      <c r="H40" s="57">
        <f>'PAINEL DE CONTROLE'!$D$5</f>
        <v>13697</v>
      </c>
      <c r="I40" s="57"/>
      <c r="J40" s="57">
        <f t="shared" si="6"/>
        <v>12000</v>
      </c>
      <c r="K40" s="54">
        <f t="shared" si="2"/>
        <v>-1697</v>
      </c>
      <c r="L40" s="60"/>
      <c r="M40" s="31"/>
      <c r="N40" s="61"/>
      <c r="O40" s="60"/>
      <c r="P40" s="31"/>
      <c r="Q40" s="61"/>
      <c r="R40" s="60"/>
      <c r="S40" s="31"/>
      <c r="T40" s="61"/>
      <c r="U40" s="60"/>
      <c r="V40" s="31"/>
      <c r="W40" s="61"/>
      <c r="X40" s="60"/>
      <c r="Y40" s="31"/>
      <c r="Z40" s="61"/>
      <c r="AA40" s="60"/>
      <c r="AB40" s="31"/>
      <c r="AC40" s="61"/>
      <c r="AD40" s="60"/>
      <c r="AE40" s="31"/>
      <c r="AF40" s="61"/>
      <c r="AG40" s="60"/>
      <c r="AH40" s="31"/>
      <c r="AI40" s="61"/>
      <c r="AJ40" s="60"/>
      <c r="AK40" s="31"/>
      <c r="AL40" s="61"/>
      <c r="AM40" s="60"/>
      <c r="AN40" s="31"/>
      <c r="AO40" s="61"/>
      <c r="AP40" s="60"/>
      <c r="AQ40" s="31"/>
      <c r="AR40" s="61"/>
      <c r="AS40" s="60"/>
      <c r="AT40" s="31"/>
      <c r="AU40" s="61"/>
    </row>
    <row r="41" ht="42.0" customHeight="1">
      <c r="A41" s="63"/>
      <c r="B41" s="73" t="s">
        <v>211</v>
      </c>
      <c r="C41" s="75" t="str">
        <f t="shared" si="4"/>
        <v>#REF!</v>
      </c>
      <c r="D41" s="74" t="s">
        <v>212</v>
      </c>
      <c r="E41" s="57" t="str">
        <f t="shared" si="5"/>
        <v>#REF!</v>
      </c>
      <c r="F41" s="58">
        <v>1.0</v>
      </c>
      <c r="G41" s="57">
        <v>6000.0</v>
      </c>
      <c r="H41" s="57">
        <f>'PAINEL DE CONTROLE'!$D$5</f>
        <v>13697</v>
      </c>
      <c r="I41" s="57"/>
      <c r="J41" s="57">
        <f t="shared" si="6"/>
        <v>6000</v>
      </c>
      <c r="K41" s="54">
        <f t="shared" si="2"/>
        <v>-7697</v>
      </c>
      <c r="L41" s="60"/>
      <c r="M41" s="31"/>
      <c r="N41" s="61"/>
      <c r="O41" s="60"/>
      <c r="P41" s="31"/>
      <c r="Q41" s="61"/>
      <c r="R41" s="60"/>
      <c r="S41" s="31"/>
      <c r="T41" s="61"/>
      <c r="U41" s="60"/>
      <c r="V41" s="31"/>
      <c r="W41" s="61"/>
      <c r="X41" s="60"/>
      <c r="Y41" s="31"/>
      <c r="Z41" s="61"/>
      <c r="AA41" s="60"/>
      <c r="AB41" s="31"/>
      <c r="AC41" s="61"/>
      <c r="AD41" s="60"/>
      <c r="AE41" s="31"/>
      <c r="AF41" s="61"/>
      <c r="AG41" s="60"/>
      <c r="AH41" s="31"/>
      <c r="AI41" s="61"/>
      <c r="AJ41" s="60"/>
      <c r="AK41" s="31"/>
      <c r="AL41" s="61"/>
      <c r="AM41" s="60"/>
      <c r="AN41" s="31"/>
      <c r="AO41" s="61"/>
      <c r="AP41" s="60"/>
      <c r="AQ41" s="31"/>
      <c r="AR41" s="61"/>
      <c r="AS41" s="60"/>
      <c r="AT41" s="31"/>
      <c r="AU41" s="61"/>
    </row>
    <row r="42" ht="61.5" customHeight="1">
      <c r="A42" s="78" t="s">
        <v>213</v>
      </c>
      <c r="B42" s="78" t="s">
        <v>214</v>
      </c>
      <c r="C42" s="88" t="str">
        <f t="shared" si="4"/>
        <v>#REF!</v>
      </c>
      <c r="D42" s="89" t="s">
        <v>215</v>
      </c>
      <c r="E42" s="51" t="str">
        <f t="shared" si="5"/>
        <v>#REF!</v>
      </c>
      <c r="F42" s="90">
        <v>1.0</v>
      </c>
      <c r="G42" s="51">
        <v>3000.0</v>
      </c>
      <c r="H42" s="51">
        <f>'PAINEL DE CONTROLE'!$D$5</f>
        <v>13697</v>
      </c>
      <c r="I42" s="51"/>
      <c r="J42" s="51"/>
      <c r="K42" s="54">
        <f t="shared" si="2"/>
        <v>-13697</v>
      </c>
      <c r="L42" s="60"/>
      <c r="M42" s="31"/>
      <c r="N42" s="61"/>
      <c r="O42" s="60"/>
      <c r="P42" s="31"/>
      <c r="Q42" s="61"/>
      <c r="R42" s="60"/>
      <c r="S42" s="31"/>
      <c r="T42" s="61"/>
      <c r="U42" s="60"/>
      <c r="V42" s="31"/>
      <c r="W42" s="61"/>
      <c r="X42" s="60"/>
      <c r="Y42" s="31"/>
      <c r="Z42" s="61"/>
      <c r="AA42" s="60"/>
      <c r="AB42" s="31"/>
      <c r="AC42" s="61"/>
      <c r="AD42" s="60"/>
      <c r="AE42" s="31"/>
      <c r="AF42" s="61"/>
      <c r="AG42" s="60"/>
      <c r="AH42" s="31"/>
      <c r="AI42" s="61"/>
      <c r="AJ42" s="60"/>
      <c r="AK42" s="31"/>
      <c r="AL42" s="61"/>
      <c r="AM42" s="60"/>
      <c r="AN42" s="31"/>
      <c r="AO42" s="61"/>
      <c r="AP42" s="60"/>
      <c r="AQ42" s="31"/>
      <c r="AR42" s="61"/>
      <c r="AS42" s="60"/>
      <c r="AT42" s="31"/>
      <c r="AU42" s="61"/>
    </row>
    <row r="43" ht="15.75" customHeight="1">
      <c r="A43" s="73" t="s">
        <v>216</v>
      </c>
      <c r="B43" s="73" t="s">
        <v>217</v>
      </c>
      <c r="C43" s="75" t="str">
        <f t="shared" si="4"/>
        <v>#REF!</v>
      </c>
      <c r="D43" s="74" t="s">
        <v>218</v>
      </c>
      <c r="E43" s="57" t="str">
        <f t="shared" si="5"/>
        <v>#REF!</v>
      </c>
      <c r="F43" s="58">
        <v>1.0</v>
      </c>
      <c r="G43" s="57">
        <v>6000.0</v>
      </c>
      <c r="H43" s="57">
        <f>'PAINEL DE CONTROLE'!$D$5</f>
        <v>13697</v>
      </c>
      <c r="I43" s="57">
        <v>100800.0</v>
      </c>
      <c r="J43" s="57">
        <f>SUM(I43+G43)</f>
        <v>106800</v>
      </c>
      <c r="K43" s="54">
        <f t="shared" si="2"/>
        <v>93103</v>
      </c>
      <c r="L43" s="60"/>
      <c r="M43" s="31"/>
      <c r="N43" s="61"/>
      <c r="O43" s="60"/>
      <c r="P43" s="31"/>
      <c r="Q43" s="61"/>
      <c r="R43" s="60"/>
      <c r="S43" s="31"/>
      <c r="T43" s="61"/>
      <c r="U43" s="60"/>
      <c r="V43" s="31"/>
      <c r="W43" s="61"/>
      <c r="X43" s="60"/>
      <c r="Y43" s="31"/>
      <c r="Z43" s="61"/>
      <c r="AA43" s="60"/>
      <c r="AB43" s="31"/>
      <c r="AC43" s="61"/>
      <c r="AD43" s="60"/>
      <c r="AE43" s="31"/>
      <c r="AF43" s="61"/>
      <c r="AG43" s="60"/>
      <c r="AH43" s="31"/>
      <c r="AI43" s="61"/>
      <c r="AJ43" s="60"/>
      <c r="AK43" s="31"/>
      <c r="AL43" s="61"/>
      <c r="AM43" s="60"/>
      <c r="AN43" s="31"/>
      <c r="AO43" s="61"/>
      <c r="AP43" s="60"/>
      <c r="AQ43" s="31"/>
      <c r="AR43" s="61"/>
      <c r="AS43" s="60"/>
      <c r="AT43" s="31"/>
      <c r="AU43" s="61"/>
    </row>
    <row r="44" ht="15.75" customHeight="1">
      <c r="A44" s="78" t="s">
        <v>219</v>
      </c>
      <c r="B44" s="78" t="s">
        <v>220</v>
      </c>
      <c r="C44" s="88" t="str">
        <f t="shared" si="4"/>
        <v>#REF!</v>
      </c>
      <c r="D44" s="89" t="s">
        <v>218</v>
      </c>
      <c r="E44" s="51" t="str">
        <f t="shared" si="5"/>
        <v>#REF!</v>
      </c>
      <c r="F44" s="90">
        <v>1.0</v>
      </c>
      <c r="G44" s="51">
        <v>6000.0</v>
      </c>
      <c r="H44" s="51">
        <f>'PAINEL DE CONTROLE'!$D$5</f>
        <v>13697</v>
      </c>
      <c r="I44" s="51"/>
      <c r="J44" s="51"/>
      <c r="K44" s="54">
        <f t="shared" si="2"/>
        <v>-13697</v>
      </c>
      <c r="L44" s="60"/>
      <c r="M44" s="31"/>
      <c r="N44" s="61"/>
      <c r="O44" s="60"/>
      <c r="P44" s="31"/>
      <c r="Q44" s="61"/>
      <c r="R44" s="60"/>
      <c r="S44" s="31"/>
      <c r="T44" s="61"/>
      <c r="U44" s="60"/>
      <c r="V44" s="31"/>
      <c r="W44" s="61"/>
      <c r="X44" s="60"/>
      <c r="Y44" s="31"/>
      <c r="Z44" s="61"/>
      <c r="AA44" s="60"/>
      <c r="AB44" s="31"/>
      <c r="AC44" s="61"/>
      <c r="AD44" s="60"/>
      <c r="AE44" s="31"/>
      <c r="AF44" s="61"/>
      <c r="AG44" s="60"/>
      <c r="AH44" s="31"/>
      <c r="AI44" s="61"/>
      <c r="AJ44" s="60"/>
      <c r="AK44" s="31"/>
      <c r="AL44" s="61"/>
      <c r="AM44" s="60"/>
      <c r="AN44" s="31"/>
      <c r="AO44" s="61"/>
      <c r="AP44" s="60"/>
      <c r="AQ44" s="31"/>
      <c r="AR44" s="61"/>
      <c r="AS44" s="60"/>
      <c r="AT44" s="31"/>
      <c r="AU44" s="61"/>
    </row>
    <row r="45" ht="36.75" customHeight="1">
      <c r="A45" s="72" t="s">
        <v>221</v>
      </c>
      <c r="B45" s="73" t="s">
        <v>222</v>
      </c>
      <c r="C45" s="75" t="str">
        <f t="shared" si="4"/>
        <v>#REF!</v>
      </c>
      <c r="D45" s="74" t="s">
        <v>205</v>
      </c>
      <c r="E45" s="57" t="str">
        <f t="shared" si="5"/>
        <v>#REF!</v>
      </c>
      <c r="F45" s="58">
        <v>1.0</v>
      </c>
      <c r="G45" s="57">
        <v>6000.0</v>
      </c>
      <c r="H45" s="57">
        <f>'PAINEL DE CONTROLE'!$D$5</f>
        <v>13697</v>
      </c>
      <c r="I45" s="57">
        <v>100800.0</v>
      </c>
      <c r="J45" s="57">
        <f t="shared" ref="J45:J48" si="7">SUM(I45+G45)</f>
        <v>106800</v>
      </c>
      <c r="K45" s="54">
        <f t="shared" si="2"/>
        <v>93103</v>
      </c>
      <c r="L45" s="60"/>
      <c r="M45" s="31"/>
      <c r="N45" s="61"/>
      <c r="O45" s="60"/>
      <c r="P45" s="31"/>
      <c r="Q45" s="61"/>
      <c r="R45" s="60"/>
      <c r="S45" s="31"/>
      <c r="T45" s="61"/>
      <c r="U45" s="60"/>
      <c r="V45" s="31"/>
      <c r="W45" s="61"/>
      <c r="X45" s="60"/>
      <c r="Y45" s="31"/>
      <c r="Z45" s="61"/>
      <c r="AA45" s="60"/>
      <c r="AB45" s="31"/>
      <c r="AC45" s="61"/>
      <c r="AD45" s="60"/>
      <c r="AE45" s="31"/>
      <c r="AF45" s="61"/>
      <c r="AG45" s="60"/>
      <c r="AH45" s="31"/>
      <c r="AI45" s="61"/>
      <c r="AJ45" s="60"/>
      <c r="AK45" s="31"/>
      <c r="AL45" s="61"/>
      <c r="AM45" s="60"/>
      <c r="AN45" s="31"/>
      <c r="AO45" s="61"/>
      <c r="AP45" s="60"/>
      <c r="AQ45" s="31"/>
      <c r="AR45" s="61"/>
      <c r="AS45" s="60"/>
      <c r="AT45" s="31"/>
      <c r="AU45" s="61"/>
    </row>
    <row r="46" ht="36.75" customHeight="1">
      <c r="A46" s="63"/>
      <c r="B46" s="73" t="s">
        <v>223</v>
      </c>
      <c r="C46" s="75" t="str">
        <f t="shared" si="4"/>
        <v>#REF!</v>
      </c>
      <c r="D46" s="74" t="s">
        <v>224</v>
      </c>
      <c r="E46" s="57" t="str">
        <f t="shared" si="5"/>
        <v>#REF!</v>
      </c>
      <c r="F46" s="58">
        <v>1.0</v>
      </c>
      <c r="G46" s="57">
        <v>2000.0</v>
      </c>
      <c r="H46" s="57">
        <f>'PAINEL DE CONTROLE'!$D$5</f>
        <v>13697</v>
      </c>
      <c r="I46" s="57">
        <v>100800.0</v>
      </c>
      <c r="J46" s="57">
        <f t="shared" si="7"/>
        <v>102800</v>
      </c>
      <c r="K46" s="54">
        <f t="shared" si="2"/>
        <v>89103</v>
      </c>
      <c r="L46" s="60"/>
      <c r="M46" s="31"/>
      <c r="N46" s="61"/>
      <c r="O46" s="60"/>
      <c r="P46" s="31"/>
      <c r="Q46" s="61"/>
      <c r="R46" s="60"/>
      <c r="S46" s="31"/>
      <c r="T46" s="61"/>
      <c r="U46" s="60"/>
      <c r="V46" s="31"/>
      <c r="W46" s="61"/>
      <c r="X46" s="60"/>
      <c r="Y46" s="31"/>
      <c r="Z46" s="61"/>
      <c r="AA46" s="60"/>
      <c r="AB46" s="31"/>
      <c r="AC46" s="61"/>
      <c r="AD46" s="60"/>
      <c r="AE46" s="31"/>
      <c r="AF46" s="61"/>
      <c r="AG46" s="60"/>
      <c r="AH46" s="31"/>
      <c r="AI46" s="61"/>
      <c r="AJ46" s="60"/>
      <c r="AK46" s="31"/>
      <c r="AL46" s="61"/>
      <c r="AM46" s="60"/>
      <c r="AN46" s="31"/>
      <c r="AO46" s="61"/>
      <c r="AP46" s="60"/>
      <c r="AQ46" s="31"/>
      <c r="AR46" s="61"/>
      <c r="AS46" s="60"/>
      <c r="AT46" s="31"/>
      <c r="AU46" s="61"/>
    </row>
    <row r="47" ht="42.75" customHeight="1">
      <c r="A47" s="87" t="s">
        <v>225</v>
      </c>
      <c r="B47" s="91" t="s">
        <v>226</v>
      </c>
      <c r="C47" s="88" t="str">
        <f t="shared" si="4"/>
        <v>#REF!</v>
      </c>
      <c r="D47" s="89" t="s">
        <v>224</v>
      </c>
      <c r="E47" s="51" t="str">
        <f t="shared" si="5"/>
        <v>#REF!</v>
      </c>
      <c r="F47" s="90">
        <v>1.0</v>
      </c>
      <c r="G47" s="51">
        <v>2000.0</v>
      </c>
      <c r="H47" s="51">
        <f>'PAINEL DE CONTROLE'!$D$5</f>
        <v>13697</v>
      </c>
      <c r="I47" s="51">
        <v>100800.0</v>
      </c>
      <c r="J47" s="51">
        <f t="shared" si="7"/>
        <v>102800</v>
      </c>
      <c r="K47" s="54">
        <f t="shared" si="2"/>
        <v>89103</v>
      </c>
      <c r="L47" s="60"/>
      <c r="M47" s="31"/>
      <c r="N47" s="61"/>
      <c r="O47" s="60"/>
      <c r="P47" s="31"/>
      <c r="Q47" s="61"/>
      <c r="R47" s="60"/>
      <c r="S47" s="31"/>
      <c r="T47" s="61"/>
      <c r="U47" s="60"/>
      <c r="V47" s="31"/>
      <c r="W47" s="61"/>
      <c r="X47" s="60"/>
      <c r="Y47" s="31"/>
      <c r="Z47" s="61"/>
      <c r="AA47" s="60"/>
      <c r="AB47" s="31"/>
      <c r="AC47" s="61"/>
      <c r="AD47" s="60"/>
      <c r="AE47" s="31"/>
      <c r="AF47" s="61"/>
      <c r="AG47" s="60"/>
      <c r="AH47" s="31"/>
      <c r="AI47" s="61"/>
      <c r="AJ47" s="60"/>
      <c r="AK47" s="31"/>
      <c r="AL47" s="61"/>
      <c r="AM47" s="60"/>
      <c r="AN47" s="31"/>
      <c r="AO47" s="61"/>
      <c r="AP47" s="60"/>
      <c r="AQ47" s="31"/>
      <c r="AR47" s="61"/>
      <c r="AS47" s="60"/>
      <c r="AT47" s="31"/>
      <c r="AU47" s="61"/>
    </row>
    <row r="48" ht="42.75" customHeight="1">
      <c r="A48" s="63"/>
      <c r="B48" s="91" t="s">
        <v>227</v>
      </c>
      <c r="C48" s="88" t="str">
        <f t="shared" si="4"/>
        <v>#REF!</v>
      </c>
      <c r="D48" s="89" t="s">
        <v>228</v>
      </c>
      <c r="E48" s="51" t="str">
        <f t="shared" si="5"/>
        <v>#REF!</v>
      </c>
      <c r="F48" s="90">
        <v>1.0</v>
      </c>
      <c r="G48" s="51">
        <v>6000.0</v>
      </c>
      <c r="H48" s="51">
        <f>'PAINEL DE CONTROLE'!$D$5</f>
        <v>13697</v>
      </c>
      <c r="I48" s="51">
        <v>100800.0</v>
      </c>
      <c r="J48" s="51">
        <f t="shared" si="7"/>
        <v>106800</v>
      </c>
      <c r="K48" s="54">
        <f t="shared" si="2"/>
        <v>93103</v>
      </c>
      <c r="L48" s="60"/>
      <c r="M48" s="31"/>
      <c r="N48" s="61"/>
      <c r="O48" s="60"/>
      <c r="P48" s="31"/>
      <c r="Q48" s="61"/>
      <c r="R48" s="60"/>
      <c r="S48" s="31"/>
      <c r="T48" s="61"/>
      <c r="U48" s="60"/>
      <c r="V48" s="31"/>
      <c r="W48" s="61"/>
      <c r="X48" s="60"/>
      <c r="Y48" s="31"/>
      <c r="Z48" s="61"/>
      <c r="AA48" s="60"/>
      <c r="AB48" s="31"/>
      <c r="AC48" s="61"/>
      <c r="AD48" s="60"/>
      <c r="AE48" s="31"/>
      <c r="AF48" s="61"/>
      <c r="AG48" s="60"/>
      <c r="AH48" s="31"/>
      <c r="AI48" s="61"/>
      <c r="AJ48" s="60"/>
      <c r="AK48" s="31"/>
      <c r="AL48" s="61"/>
      <c r="AM48" s="60"/>
      <c r="AN48" s="31"/>
      <c r="AO48" s="61"/>
      <c r="AP48" s="60"/>
      <c r="AQ48" s="31"/>
      <c r="AR48" s="61"/>
      <c r="AS48" s="60"/>
      <c r="AT48" s="31"/>
      <c r="AU48" s="61"/>
    </row>
    <row r="49" ht="36.75" customHeight="1">
      <c r="A49" s="72" t="s">
        <v>229</v>
      </c>
      <c r="B49" s="73" t="s">
        <v>230</v>
      </c>
      <c r="C49" s="75" t="str">
        <f t="shared" si="4"/>
        <v>#REF!</v>
      </c>
      <c r="D49" s="74" t="s">
        <v>200</v>
      </c>
      <c r="E49" s="57" t="str">
        <f t="shared" si="5"/>
        <v>#REF!</v>
      </c>
      <c r="F49" s="58">
        <v>1.0</v>
      </c>
      <c r="G49" s="57">
        <v>3000.0</v>
      </c>
      <c r="H49" s="57">
        <f>'PAINEL DE CONTROLE'!$D$5</f>
        <v>13697</v>
      </c>
      <c r="I49" s="57"/>
      <c r="J49" s="57"/>
      <c r="K49" s="54">
        <f t="shared" si="2"/>
        <v>-13697</v>
      </c>
      <c r="L49" s="92"/>
      <c r="M49" s="93"/>
      <c r="N49" s="94"/>
      <c r="O49" s="92"/>
      <c r="P49" s="93"/>
      <c r="Q49" s="94"/>
      <c r="R49" s="92"/>
      <c r="S49" s="93"/>
      <c r="T49" s="94"/>
      <c r="U49" s="92"/>
      <c r="V49" s="93"/>
      <c r="W49" s="94"/>
      <c r="X49" s="92"/>
      <c r="Y49" s="93"/>
      <c r="Z49" s="94"/>
      <c r="AA49" s="92"/>
      <c r="AB49" s="93"/>
      <c r="AC49" s="94"/>
      <c r="AD49" s="92"/>
      <c r="AE49" s="93"/>
      <c r="AF49" s="94"/>
      <c r="AG49" s="92"/>
      <c r="AH49" s="93"/>
      <c r="AI49" s="94"/>
      <c r="AJ49" s="92"/>
      <c r="AK49" s="93"/>
      <c r="AL49" s="94"/>
      <c r="AM49" s="92"/>
      <c r="AN49" s="93"/>
      <c r="AO49" s="94"/>
      <c r="AP49" s="92"/>
      <c r="AQ49" s="93"/>
      <c r="AR49" s="94"/>
      <c r="AS49" s="92"/>
      <c r="AT49" s="93"/>
      <c r="AU49" s="94"/>
    </row>
    <row r="50" ht="36.75" customHeight="1">
      <c r="A50" s="63"/>
      <c r="B50" s="73" t="s">
        <v>231</v>
      </c>
      <c r="C50" s="75" t="str">
        <f t="shared" si="4"/>
        <v>#REF!</v>
      </c>
      <c r="D50" s="74" t="s">
        <v>202</v>
      </c>
      <c r="E50" s="57" t="str">
        <f t="shared" si="5"/>
        <v>#REF!</v>
      </c>
      <c r="F50" s="58">
        <v>1.0</v>
      </c>
      <c r="G50" s="57">
        <v>6000.0</v>
      </c>
      <c r="H50" s="57">
        <f>'PAINEL DE CONTROLE'!$D$5</f>
        <v>13697</v>
      </c>
      <c r="I50" s="57"/>
      <c r="J50" s="57"/>
      <c r="K50" s="54">
        <f t="shared" si="2"/>
        <v>-13697</v>
      </c>
      <c r="L50" s="92"/>
      <c r="M50" s="93"/>
      <c r="N50" s="94"/>
      <c r="O50" s="92"/>
      <c r="P50" s="93"/>
      <c r="Q50" s="94"/>
      <c r="R50" s="92"/>
      <c r="S50" s="93"/>
      <c r="T50" s="94"/>
      <c r="U50" s="92"/>
      <c r="V50" s="93"/>
      <c r="W50" s="94"/>
      <c r="X50" s="92"/>
      <c r="Y50" s="93"/>
      <c r="Z50" s="94"/>
      <c r="AA50" s="92"/>
      <c r="AB50" s="93"/>
      <c r="AC50" s="94"/>
      <c r="AD50" s="92"/>
      <c r="AE50" s="93"/>
      <c r="AF50" s="94"/>
      <c r="AG50" s="92"/>
      <c r="AH50" s="93"/>
      <c r="AI50" s="94"/>
      <c r="AJ50" s="92"/>
      <c r="AK50" s="93"/>
      <c r="AL50" s="94"/>
      <c r="AM50" s="92"/>
      <c r="AN50" s="93"/>
      <c r="AO50" s="94"/>
      <c r="AP50" s="92"/>
      <c r="AQ50" s="93"/>
      <c r="AR50" s="94"/>
      <c r="AS50" s="92"/>
      <c r="AT50" s="93"/>
      <c r="AU50" s="94"/>
    </row>
    <row r="51" ht="15.75" customHeight="1">
      <c r="A51" s="78" t="s">
        <v>232</v>
      </c>
      <c r="B51" s="95"/>
      <c r="C51" s="88" t="str">
        <f t="shared" si="4"/>
        <v>#REF!</v>
      </c>
      <c r="D51" s="89" t="s">
        <v>233</v>
      </c>
      <c r="E51" s="51" t="str">
        <f t="shared" si="5"/>
        <v>#REF!</v>
      </c>
      <c r="F51" s="90">
        <v>1.0</v>
      </c>
      <c r="G51" s="51" t="s">
        <v>113</v>
      </c>
      <c r="H51" s="51">
        <f>'PAINEL DE CONTROLE'!$D$5</f>
        <v>13697</v>
      </c>
      <c r="I51" s="51"/>
      <c r="J51" s="51"/>
      <c r="K51" s="54">
        <f t="shared" si="2"/>
        <v>-13697</v>
      </c>
      <c r="L51" s="60"/>
      <c r="M51" s="31"/>
      <c r="N51" s="61"/>
      <c r="O51" s="60"/>
      <c r="P51" s="31"/>
      <c r="Q51" s="61"/>
      <c r="R51" s="60"/>
      <c r="S51" s="31"/>
      <c r="T51" s="61"/>
      <c r="U51" s="60"/>
      <c r="V51" s="31"/>
      <c r="W51" s="61"/>
      <c r="X51" s="60"/>
      <c r="Y51" s="31"/>
      <c r="Z51" s="61"/>
      <c r="AA51" s="60"/>
      <c r="AB51" s="31"/>
      <c r="AC51" s="61"/>
      <c r="AD51" s="60"/>
      <c r="AE51" s="31"/>
      <c r="AF51" s="61"/>
      <c r="AG51" s="60"/>
      <c r="AH51" s="31"/>
      <c r="AI51" s="61"/>
      <c r="AJ51" s="60"/>
      <c r="AK51" s="31"/>
      <c r="AL51" s="61"/>
      <c r="AM51" s="60"/>
      <c r="AN51" s="31"/>
      <c r="AO51" s="61"/>
      <c r="AP51" s="60"/>
      <c r="AQ51" s="31"/>
      <c r="AR51" s="61"/>
      <c r="AS51" s="60"/>
      <c r="AT51" s="31"/>
      <c r="AU51" s="61"/>
    </row>
    <row r="52" ht="36.75" customHeight="1">
      <c r="A52" s="72" t="s">
        <v>234</v>
      </c>
      <c r="B52" s="73" t="s">
        <v>235</v>
      </c>
      <c r="C52" s="75" t="str">
        <f t="shared" si="4"/>
        <v>#REF!</v>
      </c>
      <c r="D52" s="74" t="s">
        <v>215</v>
      </c>
      <c r="E52" s="57" t="str">
        <f t="shared" si="5"/>
        <v>#REF!</v>
      </c>
      <c r="F52" s="58">
        <v>1.0</v>
      </c>
      <c r="G52" s="57">
        <v>3000.0</v>
      </c>
      <c r="H52" s="57">
        <f>'PAINEL DE CONTROLE'!$D$5</f>
        <v>13697</v>
      </c>
      <c r="I52" s="57"/>
      <c r="J52" s="57"/>
      <c r="K52" s="54">
        <f t="shared" si="2"/>
        <v>-13697</v>
      </c>
      <c r="L52" s="92"/>
      <c r="M52" s="93"/>
      <c r="N52" s="94"/>
      <c r="O52" s="92"/>
      <c r="P52" s="93"/>
      <c r="Q52" s="94"/>
      <c r="R52" s="92"/>
      <c r="S52" s="93"/>
      <c r="T52" s="94"/>
      <c r="U52" s="92"/>
      <c r="V52" s="93"/>
      <c r="W52" s="94"/>
      <c r="X52" s="92"/>
      <c r="Y52" s="93"/>
      <c r="Z52" s="94"/>
      <c r="AA52" s="92"/>
      <c r="AB52" s="93"/>
      <c r="AC52" s="94"/>
      <c r="AD52" s="92"/>
      <c r="AE52" s="93"/>
      <c r="AF52" s="94"/>
      <c r="AG52" s="92"/>
      <c r="AH52" s="93"/>
      <c r="AI52" s="94"/>
      <c r="AJ52" s="92"/>
      <c r="AK52" s="93"/>
      <c r="AL52" s="94"/>
      <c r="AM52" s="92"/>
      <c r="AN52" s="93"/>
      <c r="AO52" s="94"/>
      <c r="AP52" s="92"/>
      <c r="AQ52" s="93"/>
      <c r="AR52" s="94"/>
      <c r="AS52" s="92"/>
      <c r="AT52" s="93"/>
      <c r="AU52" s="94"/>
    </row>
    <row r="53" ht="36.75" customHeight="1">
      <c r="A53" s="63"/>
      <c r="B53" s="73" t="s">
        <v>236</v>
      </c>
      <c r="C53" s="75" t="str">
        <f t="shared" si="4"/>
        <v>#REF!</v>
      </c>
      <c r="D53" s="74" t="s">
        <v>202</v>
      </c>
      <c r="E53" s="57" t="str">
        <f t="shared" si="5"/>
        <v>#REF!</v>
      </c>
      <c r="F53" s="58">
        <v>1.0</v>
      </c>
      <c r="G53" s="57">
        <v>6000.0</v>
      </c>
      <c r="H53" s="57">
        <f>'PAINEL DE CONTROLE'!$D$5</f>
        <v>13697</v>
      </c>
      <c r="I53" s="57"/>
      <c r="J53" s="57"/>
      <c r="K53" s="54">
        <f t="shared" si="2"/>
        <v>-13697</v>
      </c>
      <c r="L53" s="92"/>
      <c r="M53" s="93"/>
      <c r="N53" s="94"/>
      <c r="O53" s="92"/>
      <c r="P53" s="93"/>
      <c r="Q53" s="94"/>
      <c r="R53" s="92"/>
      <c r="S53" s="93"/>
      <c r="T53" s="94"/>
      <c r="U53" s="92"/>
      <c r="V53" s="93"/>
      <c r="W53" s="94"/>
      <c r="X53" s="92"/>
      <c r="Y53" s="93"/>
      <c r="Z53" s="94"/>
      <c r="AA53" s="92"/>
      <c r="AB53" s="93"/>
      <c r="AC53" s="94"/>
      <c r="AD53" s="92"/>
      <c r="AE53" s="93"/>
      <c r="AF53" s="94"/>
      <c r="AG53" s="92"/>
      <c r="AH53" s="93"/>
      <c r="AI53" s="94"/>
      <c r="AJ53" s="92"/>
      <c r="AK53" s="93"/>
      <c r="AL53" s="94"/>
      <c r="AM53" s="92"/>
      <c r="AN53" s="93"/>
      <c r="AO53" s="94"/>
      <c r="AP53" s="92"/>
      <c r="AQ53" s="93"/>
      <c r="AR53" s="94"/>
      <c r="AS53" s="92"/>
      <c r="AT53" s="93"/>
      <c r="AU53" s="94"/>
    </row>
    <row r="54" ht="47.25" customHeight="1">
      <c r="A54" s="87" t="s">
        <v>237</v>
      </c>
      <c r="B54" s="95"/>
      <c r="C54" s="88" t="str">
        <f t="shared" si="4"/>
        <v>#REF!</v>
      </c>
      <c r="D54" s="89" t="s">
        <v>116</v>
      </c>
      <c r="E54" s="51" t="str">
        <f t="shared" si="5"/>
        <v>#REF!</v>
      </c>
      <c r="F54" s="90">
        <v>1.0</v>
      </c>
      <c r="G54" s="51" t="s">
        <v>113</v>
      </c>
      <c r="H54" s="51">
        <f>'PAINEL DE CONTROLE'!$D$5</f>
        <v>13697</v>
      </c>
      <c r="I54" s="51"/>
      <c r="J54" s="51" t="str">
        <f t="shared" ref="J54:J57" si="8">SUM(I54+G54)</f>
        <v>#VALUE!</v>
      </c>
      <c r="K54" s="54" t="str">
        <f t="shared" si="2"/>
        <v>#VALUE!</v>
      </c>
      <c r="L54" s="60"/>
      <c r="M54" s="31"/>
      <c r="N54" s="61"/>
      <c r="O54" s="60"/>
      <c r="P54" s="31"/>
      <c r="Q54" s="61"/>
      <c r="R54" s="60"/>
      <c r="S54" s="31"/>
      <c r="T54" s="61"/>
      <c r="U54" s="60"/>
      <c r="V54" s="31"/>
      <c r="W54" s="61"/>
      <c r="X54" s="60"/>
      <c r="Y54" s="31"/>
      <c r="Z54" s="61"/>
      <c r="AA54" s="60"/>
      <c r="AB54" s="31"/>
      <c r="AC54" s="61"/>
      <c r="AD54" s="60"/>
      <c r="AE54" s="31"/>
      <c r="AF54" s="61"/>
      <c r="AG54" s="60"/>
      <c r="AH54" s="31"/>
      <c r="AI54" s="61"/>
      <c r="AJ54" s="60"/>
      <c r="AK54" s="31"/>
      <c r="AL54" s="61"/>
      <c r="AM54" s="60"/>
      <c r="AN54" s="31"/>
      <c r="AO54" s="61"/>
      <c r="AP54" s="60"/>
      <c r="AQ54" s="31"/>
      <c r="AR54" s="61"/>
      <c r="AS54" s="60"/>
      <c r="AT54" s="31"/>
      <c r="AU54" s="61"/>
    </row>
    <row r="55" ht="47.25" customHeight="1">
      <c r="A55" s="63"/>
      <c r="B55" s="95"/>
      <c r="C55" s="88" t="str">
        <f t="shared" si="4"/>
        <v>#REF!</v>
      </c>
      <c r="D55" s="89" t="s">
        <v>238</v>
      </c>
      <c r="E55" s="51" t="str">
        <f t="shared" si="5"/>
        <v>#REF!</v>
      </c>
      <c r="F55" s="90">
        <v>2.0</v>
      </c>
      <c r="G55" s="51" t="s">
        <v>113</v>
      </c>
      <c r="H55" s="51">
        <f>'PAINEL DE CONTROLE'!$D$5</f>
        <v>13697</v>
      </c>
      <c r="I55" s="51"/>
      <c r="J55" s="51" t="str">
        <f t="shared" si="8"/>
        <v>#VALUE!</v>
      </c>
      <c r="K55" s="54" t="str">
        <f t="shared" si="2"/>
        <v>#VALUE!</v>
      </c>
      <c r="L55" s="60"/>
      <c r="M55" s="31"/>
      <c r="N55" s="61"/>
      <c r="O55" s="60"/>
      <c r="P55" s="31"/>
      <c r="Q55" s="61"/>
      <c r="R55" s="60"/>
      <c r="S55" s="31"/>
      <c r="T55" s="61"/>
      <c r="U55" s="60"/>
      <c r="V55" s="31"/>
      <c r="W55" s="61"/>
      <c r="X55" s="60"/>
      <c r="Y55" s="31"/>
      <c r="Z55" s="61"/>
      <c r="AA55" s="60"/>
      <c r="AB55" s="31"/>
      <c r="AC55" s="61"/>
      <c r="AD55" s="60"/>
      <c r="AE55" s="31"/>
      <c r="AF55" s="61"/>
      <c r="AG55" s="60"/>
      <c r="AH55" s="31"/>
      <c r="AI55" s="61"/>
      <c r="AJ55" s="60"/>
      <c r="AK55" s="31"/>
      <c r="AL55" s="61"/>
      <c r="AM55" s="60"/>
      <c r="AN55" s="31"/>
      <c r="AO55" s="61"/>
      <c r="AP55" s="60"/>
      <c r="AQ55" s="31"/>
      <c r="AR55" s="61"/>
      <c r="AS55" s="60"/>
      <c r="AT55" s="31"/>
      <c r="AU55" s="61"/>
    </row>
    <row r="56" ht="36.75" customHeight="1">
      <c r="A56" s="72" t="s">
        <v>239</v>
      </c>
      <c r="B56" s="73" t="s">
        <v>240</v>
      </c>
      <c r="C56" s="75" t="str">
        <f t="shared" si="4"/>
        <v>#REF!</v>
      </c>
      <c r="D56" s="74" t="s">
        <v>205</v>
      </c>
      <c r="E56" s="57" t="str">
        <f t="shared" si="5"/>
        <v>#REF!</v>
      </c>
      <c r="F56" s="58">
        <v>1.0</v>
      </c>
      <c r="G56" s="57">
        <v>6000.0</v>
      </c>
      <c r="H56" s="57">
        <f>'PAINEL DE CONTROLE'!$D$5</f>
        <v>13697</v>
      </c>
      <c r="I56" s="57">
        <v>100800.0</v>
      </c>
      <c r="J56" s="57">
        <f t="shared" si="8"/>
        <v>106800</v>
      </c>
      <c r="K56" s="54">
        <f t="shared" si="2"/>
        <v>93103</v>
      </c>
      <c r="L56" s="60"/>
      <c r="M56" s="31"/>
      <c r="N56" s="61"/>
      <c r="O56" s="60"/>
      <c r="P56" s="31"/>
      <c r="Q56" s="61"/>
      <c r="R56" s="60"/>
      <c r="S56" s="31"/>
      <c r="T56" s="61"/>
      <c r="U56" s="60"/>
      <c r="V56" s="31"/>
      <c r="W56" s="61"/>
      <c r="X56" s="60"/>
      <c r="Y56" s="31"/>
      <c r="Z56" s="61"/>
      <c r="AA56" s="60"/>
      <c r="AB56" s="31"/>
      <c r="AC56" s="61"/>
      <c r="AD56" s="60"/>
      <c r="AE56" s="31"/>
      <c r="AF56" s="61"/>
      <c r="AG56" s="60"/>
      <c r="AH56" s="31"/>
      <c r="AI56" s="61"/>
      <c r="AJ56" s="60"/>
      <c r="AK56" s="31"/>
      <c r="AL56" s="61"/>
      <c r="AM56" s="60"/>
      <c r="AN56" s="31"/>
      <c r="AO56" s="61"/>
      <c r="AP56" s="60"/>
      <c r="AQ56" s="31"/>
      <c r="AR56" s="61"/>
      <c r="AS56" s="60"/>
      <c r="AT56" s="31"/>
      <c r="AU56" s="61"/>
    </row>
    <row r="57" ht="36.75" customHeight="1">
      <c r="A57" s="63"/>
      <c r="B57" s="73" t="s">
        <v>241</v>
      </c>
      <c r="C57" s="75" t="str">
        <f t="shared" si="4"/>
        <v>#REF!</v>
      </c>
      <c r="D57" s="74" t="s">
        <v>242</v>
      </c>
      <c r="E57" s="57" t="str">
        <f t="shared" si="5"/>
        <v>#REF!</v>
      </c>
      <c r="F57" s="58">
        <v>1.0</v>
      </c>
      <c r="G57" s="57">
        <v>2000.0</v>
      </c>
      <c r="H57" s="57">
        <f>'PAINEL DE CONTROLE'!$D$5</f>
        <v>13697</v>
      </c>
      <c r="I57" s="57">
        <v>100800.0</v>
      </c>
      <c r="J57" s="57">
        <f t="shared" si="8"/>
        <v>102800</v>
      </c>
      <c r="K57" s="54">
        <f t="shared" si="2"/>
        <v>89103</v>
      </c>
      <c r="L57" s="60"/>
      <c r="M57" s="31"/>
      <c r="N57" s="61"/>
      <c r="O57" s="60"/>
      <c r="P57" s="31"/>
      <c r="Q57" s="61"/>
      <c r="R57" s="60"/>
      <c r="S57" s="31"/>
      <c r="T57" s="61"/>
      <c r="U57" s="60"/>
      <c r="V57" s="31"/>
      <c r="W57" s="61"/>
      <c r="X57" s="60"/>
      <c r="Y57" s="31"/>
      <c r="Z57" s="61"/>
      <c r="AA57" s="60"/>
      <c r="AB57" s="31"/>
      <c r="AC57" s="61"/>
      <c r="AD57" s="60"/>
      <c r="AE57" s="31"/>
      <c r="AF57" s="61"/>
      <c r="AG57" s="60"/>
      <c r="AH57" s="31"/>
      <c r="AI57" s="61"/>
      <c r="AJ57" s="60"/>
      <c r="AK57" s="31"/>
      <c r="AL57" s="61"/>
      <c r="AM57" s="60"/>
      <c r="AN57" s="31"/>
      <c r="AO57" s="61"/>
      <c r="AP57" s="60"/>
      <c r="AQ57" s="31"/>
      <c r="AR57" s="61"/>
      <c r="AS57" s="60"/>
      <c r="AT57" s="31"/>
      <c r="AU57" s="61"/>
    </row>
    <row r="58" ht="36.75" customHeight="1">
      <c r="A58" s="87" t="s">
        <v>243</v>
      </c>
      <c r="B58" s="87" t="s">
        <v>244</v>
      </c>
      <c r="C58" s="88" t="str">
        <f t="shared" si="4"/>
        <v>#REF!</v>
      </c>
      <c r="D58" s="89" t="s">
        <v>200</v>
      </c>
      <c r="E58" s="51" t="str">
        <f t="shared" si="5"/>
        <v>#REF!</v>
      </c>
      <c r="F58" s="90">
        <v>1.0</v>
      </c>
      <c r="G58" s="51">
        <v>1000.0</v>
      </c>
      <c r="H58" s="51">
        <f>'PAINEL DE CONTROLE'!$D$5</f>
        <v>13697</v>
      </c>
      <c r="I58" s="51"/>
      <c r="J58" s="51"/>
      <c r="K58" s="54">
        <f t="shared" si="2"/>
        <v>-13697</v>
      </c>
      <c r="L58" s="60"/>
      <c r="M58" s="31"/>
      <c r="N58" s="61"/>
      <c r="O58" s="60"/>
      <c r="P58" s="31"/>
      <c r="Q58" s="61"/>
      <c r="R58" s="60"/>
      <c r="S58" s="31"/>
      <c r="T58" s="61"/>
      <c r="U58" s="60"/>
      <c r="V58" s="31"/>
      <c r="W58" s="61"/>
      <c r="X58" s="60"/>
      <c r="Y58" s="31"/>
      <c r="Z58" s="61"/>
      <c r="AA58" s="60"/>
      <c r="AB58" s="31"/>
      <c r="AC58" s="61"/>
      <c r="AD58" s="60"/>
      <c r="AE58" s="31"/>
      <c r="AF58" s="61"/>
      <c r="AG58" s="60"/>
      <c r="AH58" s="31"/>
      <c r="AI58" s="61"/>
      <c r="AJ58" s="60"/>
      <c r="AK58" s="31"/>
      <c r="AL58" s="61"/>
      <c r="AM58" s="60"/>
      <c r="AN58" s="31"/>
      <c r="AO58" s="61"/>
      <c r="AP58" s="60"/>
      <c r="AQ58" s="31"/>
      <c r="AR58" s="61"/>
      <c r="AS58" s="60"/>
      <c r="AT58" s="31"/>
      <c r="AU58" s="61"/>
    </row>
    <row r="59" ht="36.75" customHeight="1">
      <c r="A59" s="63"/>
      <c r="B59" s="87" t="s">
        <v>245</v>
      </c>
      <c r="C59" s="88" t="str">
        <f t="shared" si="4"/>
        <v>#REF!</v>
      </c>
      <c r="D59" s="89" t="s">
        <v>202</v>
      </c>
      <c r="E59" s="51" t="str">
        <f t="shared" si="5"/>
        <v>#REF!</v>
      </c>
      <c r="F59" s="90">
        <v>1.0</v>
      </c>
      <c r="G59" s="51">
        <v>6000.0</v>
      </c>
      <c r="H59" s="51">
        <f>'PAINEL DE CONTROLE'!$D$5</f>
        <v>13697</v>
      </c>
      <c r="I59" s="51"/>
      <c r="J59" s="51"/>
      <c r="K59" s="54">
        <f t="shared" si="2"/>
        <v>-13697</v>
      </c>
      <c r="L59" s="60"/>
      <c r="M59" s="31"/>
      <c r="N59" s="61"/>
      <c r="O59" s="60"/>
      <c r="P59" s="31"/>
      <c r="Q59" s="61"/>
      <c r="R59" s="60"/>
      <c r="S59" s="31"/>
      <c r="T59" s="61"/>
      <c r="U59" s="60"/>
      <c r="V59" s="31"/>
      <c r="W59" s="61"/>
      <c r="X59" s="60"/>
      <c r="Y59" s="31"/>
      <c r="Z59" s="61"/>
      <c r="AA59" s="60"/>
      <c r="AB59" s="31"/>
      <c r="AC59" s="61"/>
      <c r="AD59" s="60"/>
      <c r="AE59" s="31"/>
      <c r="AF59" s="61"/>
      <c r="AG59" s="60"/>
      <c r="AH59" s="31"/>
      <c r="AI59" s="61"/>
      <c r="AJ59" s="60"/>
      <c r="AK59" s="31"/>
      <c r="AL59" s="61"/>
      <c r="AM59" s="60"/>
      <c r="AN59" s="31"/>
      <c r="AO59" s="61"/>
      <c r="AP59" s="60"/>
      <c r="AQ59" s="31"/>
      <c r="AR59" s="61"/>
      <c r="AS59" s="60"/>
      <c r="AT59" s="31"/>
      <c r="AU59" s="61"/>
    </row>
    <row r="60" ht="36.75" customHeight="1">
      <c r="A60" s="72" t="s">
        <v>246</v>
      </c>
      <c r="B60" s="73" t="s">
        <v>247</v>
      </c>
      <c r="C60" s="75" t="str">
        <f t="shared" si="4"/>
        <v>#REF!</v>
      </c>
      <c r="D60" s="74" t="s">
        <v>205</v>
      </c>
      <c r="E60" s="57" t="str">
        <f t="shared" si="5"/>
        <v>#REF!</v>
      </c>
      <c r="F60" s="58">
        <v>1.0</v>
      </c>
      <c r="G60" s="57">
        <v>6000.0</v>
      </c>
      <c r="H60" s="57">
        <f>'PAINEL DE CONTROLE'!$D$5</f>
        <v>13697</v>
      </c>
      <c r="I60" s="57">
        <v>100800.0</v>
      </c>
      <c r="J60" s="57">
        <f t="shared" ref="J60:J65" si="9">SUM(I60+G60)</f>
        <v>106800</v>
      </c>
      <c r="K60" s="54">
        <f t="shared" si="2"/>
        <v>93103</v>
      </c>
      <c r="L60" s="60"/>
      <c r="M60" s="31"/>
      <c r="N60" s="61"/>
      <c r="O60" s="60"/>
      <c r="P60" s="31"/>
      <c r="Q60" s="61"/>
      <c r="R60" s="60"/>
      <c r="S60" s="31"/>
      <c r="T60" s="61"/>
      <c r="U60" s="60"/>
      <c r="V60" s="31"/>
      <c r="W60" s="61"/>
      <c r="X60" s="60"/>
      <c r="Y60" s="31"/>
      <c r="Z60" s="61"/>
      <c r="AA60" s="60"/>
      <c r="AB60" s="31"/>
      <c r="AC60" s="61"/>
      <c r="AD60" s="60"/>
      <c r="AE60" s="31"/>
      <c r="AF60" s="61"/>
      <c r="AG60" s="60"/>
      <c r="AH60" s="31"/>
      <c r="AI60" s="61"/>
      <c r="AJ60" s="60"/>
      <c r="AK60" s="31"/>
      <c r="AL60" s="61"/>
      <c r="AM60" s="60"/>
      <c r="AN60" s="31"/>
      <c r="AO60" s="61"/>
      <c r="AP60" s="60"/>
      <c r="AQ60" s="31"/>
      <c r="AR60" s="61"/>
      <c r="AS60" s="60"/>
      <c r="AT60" s="31"/>
      <c r="AU60" s="61"/>
    </row>
    <row r="61" ht="36.75" customHeight="1">
      <c r="A61" s="96"/>
      <c r="B61" s="97" t="s">
        <v>248</v>
      </c>
      <c r="C61" s="75" t="str">
        <f t="shared" si="4"/>
        <v>#REF!</v>
      </c>
      <c r="D61" s="74" t="s">
        <v>249</v>
      </c>
      <c r="E61" s="57" t="str">
        <f t="shared" si="5"/>
        <v>#REF!</v>
      </c>
      <c r="F61" s="58">
        <v>1.0</v>
      </c>
      <c r="G61" s="57">
        <v>1000.0</v>
      </c>
      <c r="H61" s="57">
        <f>'PAINEL DE CONTROLE'!$D$5</f>
        <v>13697</v>
      </c>
      <c r="I61" s="57">
        <v>100800.0</v>
      </c>
      <c r="J61" s="57">
        <f t="shared" si="9"/>
        <v>101800</v>
      </c>
      <c r="K61" s="54">
        <f t="shared" si="2"/>
        <v>88103</v>
      </c>
      <c r="L61" s="60"/>
      <c r="M61" s="31"/>
      <c r="N61" s="61"/>
      <c r="O61" s="60"/>
      <c r="P61" s="31"/>
      <c r="Q61" s="61"/>
      <c r="R61" s="60"/>
      <c r="S61" s="31"/>
      <c r="T61" s="61"/>
      <c r="U61" s="60"/>
      <c r="V61" s="31"/>
      <c r="W61" s="61"/>
      <c r="X61" s="60"/>
      <c r="Y61" s="31"/>
      <c r="Z61" s="61"/>
      <c r="AA61" s="60"/>
      <c r="AB61" s="31"/>
      <c r="AC61" s="61"/>
      <c r="AD61" s="60"/>
      <c r="AE61" s="31"/>
      <c r="AF61" s="61"/>
      <c r="AG61" s="60"/>
      <c r="AH61" s="31"/>
      <c r="AI61" s="61"/>
      <c r="AJ61" s="60"/>
      <c r="AK61" s="31"/>
      <c r="AL61" s="61"/>
      <c r="AM61" s="60"/>
      <c r="AN61" s="31"/>
      <c r="AO61" s="61"/>
      <c r="AP61" s="60"/>
      <c r="AQ61" s="31"/>
      <c r="AR61" s="61"/>
      <c r="AS61" s="60"/>
      <c r="AT61" s="31"/>
      <c r="AU61" s="61"/>
    </row>
    <row r="62" ht="69.75" customHeight="1">
      <c r="A62" s="87" t="s">
        <v>250</v>
      </c>
      <c r="B62" s="78" t="s">
        <v>251</v>
      </c>
      <c r="C62" s="88" t="str">
        <f t="shared" si="4"/>
        <v>#REF!</v>
      </c>
      <c r="D62" s="89" t="s">
        <v>252</v>
      </c>
      <c r="E62" s="51" t="str">
        <f t="shared" si="5"/>
        <v>#REF!</v>
      </c>
      <c r="F62" s="90">
        <v>1.0</v>
      </c>
      <c r="G62" s="51">
        <v>1000.0</v>
      </c>
      <c r="H62" s="51">
        <f>'PAINEL DE CONTROLE'!$D$5</f>
        <v>13697</v>
      </c>
      <c r="I62" s="51">
        <v>100800.0</v>
      </c>
      <c r="J62" s="51">
        <f t="shared" si="9"/>
        <v>101800</v>
      </c>
      <c r="K62" s="54">
        <f t="shared" si="2"/>
        <v>88103</v>
      </c>
      <c r="L62" s="60"/>
      <c r="M62" s="31"/>
      <c r="N62" s="61"/>
      <c r="O62" s="60"/>
      <c r="P62" s="31"/>
      <c r="Q62" s="61"/>
      <c r="R62" s="60"/>
      <c r="S62" s="31"/>
      <c r="T62" s="61"/>
      <c r="U62" s="60"/>
      <c r="V62" s="31"/>
      <c r="W62" s="61"/>
      <c r="X62" s="60"/>
      <c r="Y62" s="31"/>
      <c r="Z62" s="61"/>
      <c r="AA62" s="60"/>
      <c r="AB62" s="31"/>
      <c r="AC62" s="61"/>
      <c r="AD62" s="60"/>
      <c r="AE62" s="31"/>
      <c r="AF62" s="61"/>
      <c r="AG62" s="60"/>
      <c r="AH62" s="31"/>
      <c r="AI62" s="61"/>
      <c r="AJ62" s="60"/>
      <c r="AK62" s="31"/>
      <c r="AL62" s="61"/>
      <c r="AM62" s="60"/>
      <c r="AN62" s="31"/>
      <c r="AO62" s="61"/>
      <c r="AP62" s="60"/>
      <c r="AQ62" s="31"/>
      <c r="AR62" s="61"/>
      <c r="AS62" s="60"/>
      <c r="AT62" s="31"/>
      <c r="AU62" s="61"/>
    </row>
    <row r="63" ht="69.75" customHeight="1">
      <c r="A63" s="63"/>
      <c r="B63" s="78" t="s">
        <v>253</v>
      </c>
      <c r="C63" s="88" t="str">
        <f t="shared" si="4"/>
        <v>#REF!</v>
      </c>
      <c r="D63" s="89" t="s">
        <v>202</v>
      </c>
      <c r="E63" s="51" t="str">
        <f t="shared" si="5"/>
        <v>#REF!</v>
      </c>
      <c r="F63" s="90">
        <v>1.0</v>
      </c>
      <c r="G63" s="51">
        <v>6000.0</v>
      </c>
      <c r="H63" s="51">
        <f>'PAINEL DE CONTROLE'!$D$5</f>
        <v>13697</v>
      </c>
      <c r="I63" s="51">
        <v>100800.0</v>
      </c>
      <c r="J63" s="51">
        <f t="shared" si="9"/>
        <v>106800</v>
      </c>
      <c r="K63" s="54">
        <f t="shared" si="2"/>
        <v>93103</v>
      </c>
      <c r="L63" s="60"/>
      <c r="M63" s="31"/>
      <c r="N63" s="61"/>
      <c r="O63" s="60"/>
      <c r="P63" s="31"/>
      <c r="Q63" s="61"/>
      <c r="R63" s="60"/>
      <c r="S63" s="31"/>
      <c r="T63" s="61"/>
      <c r="U63" s="60"/>
      <c r="V63" s="31"/>
      <c r="W63" s="61"/>
      <c r="X63" s="60"/>
      <c r="Y63" s="31"/>
      <c r="Z63" s="61"/>
      <c r="AA63" s="60"/>
      <c r="AB63" s="31"/>
      <c r="AC63" s="61"/>
      <c r="AD63" s="60"/>
      <c r="AE63" s="31"/>
      <c r="AF63" s="61"/>
      <c r="AG63" s="60"/>
      <c r="AH63" s="31"/>
      <c r="AI63" s="61"/>
      <c r="AJ63" s="60"/>
      <c r="AK63" s="31"/>
      <c r="AL63" s="61"/>
      <c r="AM63" s="60"/>
      <c r="AN63" s="31"/>
      <c r="AO63" s="61"/>
      <c r="AP63" s="60"/>
      <c r="AQ63" s="31"/>
      <c r="AR63" s="61"/>
      <c r="AS63" s="60"/>
      <c r="AT63" s="31"/>
      <c r="AU63" s="61"/>
    </row>
    <row r="64" ht="36.75" customHeight="1">
      <c r="A64" s="72" t="s">
        <v>254</v>
      </c>
      <c r="B64" s="91" t="s">
        <v>255</v>
      </c>
      <c r="C64" s="75" t="str">
        <f t="shared" si="4"/>
        <v>#REF!</v>
      </c>
      <c r="D64" s="74" t="s">
        <v>256</v>
      </c>
      <c r="E64" s="57" t="str">
        <f t="shared" si="5"/>
        <v>#REF!</v>
      </c>
      <c r="F64" s="58">
        <v>1.0</v>
      </c>
      <c r="G64" s="57">
        <v>6000.0</v>
      </c>
      <c r="H64" s="57">
        <f>'PAINEL DE CONTROLE'!$D$5</f>
        <v>13697</v>
      </c>
      <c r="I64" s="57"/>
      <c r="J64" s="57">
        <f t="shared" si="9"/>
        <v>6000</v>
      </c>
      <c r="K64" s="54">
        <f t="shared" si="2"/>
        <v>-7697</v>
      </c>
      <c r="L64" s="60"/>
      <c r="M64" s="31"/>
      <c r="N64" s="61"/>
      <c r="O64" s="60"/>
      <c r="P64" s="31"/>
      <c r="Q64" s="61"/>
      <c r="R64" s="60"/>
      <c r="S64" s="31"/>
      <c r="T64" s="61"/>
      <c r="U64" s="60"/>
      <c r="V64" s="31"/>
      <c r="W64" s="61"/>
      <c r="X64" s="60"/>
      <c r="Y64" s="31"/>
      <c r="Z64" s="61"/>
      <c r="AA64" s="60"/>
      <c r="AB64" s="31"/>
      <c r="AC64" s="61"/>
      <c r="AD64" s="60"/>
      <c r="AE64" s="31"/>
      <c r="AF64" s="61"/>
      <c r="AG64" s="60"/>
      <c r="AH64" s="31"/>
      <c r="AI64" s="61"/>
      <c r="AJ64" s="60"/>
      <c r="AK64" s="31"/>
      <c r="AL64" s="61"/>
      <c r="AM64" s="60"/>
      <c r="AN64" s="31"/>
      <c r="AO64" s="61"/>
      <c r="AP64" s="60"/>
      <c r="AQ64" s="31"/>
      <c r="AR64" s="61"/>
      <c r="AS64" s="60"/>
      <c r="AT64" s="31"/>
      <c r="AU64" s="61"/>
    </row>
    <row r="65" ht="36.75" customHeight="1">
      <c r="A65" s="63"/>
      <c r="B65" s="98" t="s">
        <v>257</v>
      </c>
      <c r="C65" s="75" t="str">
        <f t="shared" si="4"/>
        <v>#REF!</v>
      </c>
      <c r="D65" s="74" t="s">
        <v>258</v>
      </c>
      <c r="E65" s="57" t="str">
        <f t="shared" si="5"/>
        <v>#REF!</v>
      </c>
      <c r="F65" s="58">
        <v>1.0</v>
      </c>
      <c r="G65" s="57">
        <v>12000.0</v>
      </c>
      <c r="H65" s="57">
        <f>'PAINEL DE CONTROLE'!$D$5</f>
        <v>13697</v>
      </c>
      <c r="I65" s="57"/>
      <c r="J65" s="57">
        <f t="shared" si="9"/>
        <v>12000</v>
      </c>
      <c r="K65" s="54">
        <f t="shared" si="2"/>
        <v>-1697</v>
      </c>
      <c r="L65" s="60"/>
      <c r="M65" s="31"/>
      <c r="N65" s="61"/>
      <c r="O65" s="60"/>
      <c r="P65" s="31"/>
      <c r="Q65" s="61"/>
      <c r="R65" s="60"/>
      <c r="S65" s="31"/>
      <c r="T65" s="61"/>
      <c r="U65" s="60"/>
      <c r="V65" s="31"/>
      <c r="W65" s="61"/>
      <c r="X65" s="60"/>
      <c r="Y65" s="31"/>
      <c r="Z65" s="61"/>
      <c r="AA65" s="60"/>
      <c r="AB65" s="31"/>
      <c r="AC65" s="61"/>
      <c r="AD65" s="60"/>
      <c r="AE65" s="31"/>
      <c r="AF65" s="61"/>
      <c r="AG65" s="60"/>
      <c r="AH65" s="31"/>
      <c r="AI65" s="61"/>
      <c r="AJ65" s="60"/>
      <c r="AK65" s="31"/>
      <c r="AL65" s="61"/>
      <c r="AM65" s="60"/>
      <c r="AN65" s="31"/>
      <c r="AO65" s="61"/>
      <c r="AP65" s="60"/>
      <c r="AQ65" s="31"/>
      <c r="AR65" s="61"/>
      <c r="AS65" s="60"/>
      <c r="AT65" s="31"/>
      <c r="AU65" s="61"/>
    </row>
    <row r="66" ht="36.75" customHeight="1">
      <c r="A66" s="87" t="s">
        <v>259</v>
      </c>
      <c r="B66" s="99"/>
      <c r="C66" s="88" t="str">
        <f t="shared" si="4"/>
        <v>#REF!</v>
      </c>
      <c r="D66" s="89" t="s">
        <v>260</v>
      </c>
      <c r="E66" s="51" t="str">
        <f t="shared" si="5"/>
        <v>#REF!</v>
      </c>
      <c r="F66" s="90">
        <v>1.0</v>
      </c>
      <c r="G66" s="51" t="s">
        <v>113</v>
      </c>
      <c r="H66" s="51">
        <f>'PAINEL DE CONTROLE'!$D$5</f>
        <v>13697</v>
      </c>
      <c r="I66" s="51"/>
      <c r="J66" s="51"/>
      <c r="K66" s="54">
        <f t="shared" si="2"/>
        <v>-13697</v>
      </c>
      <c r="L66" s="60"/>
      <c r="M66" s="31"/>
      <c r="N66" s="61"/>
      <c r="O66" s="60"/>
      <c r="P66" s="31"/>
      <c r="Q66" s="61"/>
      <c r="R66" s="60"/>
      <c r="S66" s="31"/>
      <c r="T66" s="61"/>
      <c r="U66" s="60"/>
      <c r="V66" s="31"/>
      <c r="W66" s="61"/>
      <c r="X66" s="60"/>
      <c r="Y66" s="31"/>
      <c r="Z66" s="61"/>
      <c r="AA66" s="60"/>
      <c r="AB66" s="31"/>
      <c r="AC66" s="61"/>
      <c r="AD66" s="60"/>
      <c r="AE66" s="31"/>
      <c r="AF66" s="61"/>
      <c r="AG66" s="60"/>
      <c r="AH66" s="31"/>
      <c r="AI66" s="61"/>
      <c r="AJ66" s="60"/>
      <c r="AK66" s="31"/>
      <c r="AL66" s="61"/>
      <c r="AM66" s="60"/>
      <c r="AN66" s="31"/>
      <c r="AO66" s="61"/>
      <c r="AP66" s="60"/>
      <c r="AQ66" s="31"/>
      <c r="AR66" s="61"/>
      <c r="AS66" s="60"/>
      <c r="AT66" s="31"/>
      <c r="AU66" s="61"/>
    </row>
    <row r="67" ht="36.75" customHeight="1">
      <c r="A67" s="62"/>
      <c r="B67" s="99"/>
      <c r="C67" s="88" t="str">
        <f t="shared" si="4"/>
        <v>#REF!</v>
      </c>
      <c r="D67" s="89" t="s">
        <v>261</v>
      </c>
      <c r="E67" s="51" t="str">
        <f t="shared" si="5"/>
        <v>#REF!</v>
      </c>
      <c r="F67" s="90">
        <v>1.0</v>
      </c>
      <c r="G67" s="51" t="s">
        <v>113</v>
      </c>
      <c r="H67" s="51">
        <f>'PAINEL DE CONTROLE'!$D$5</f>
        <v>13697</v>
      </c>
      <c r="I67" s="51"/>
      <c r="J67" s="51"/>
      <c r="K67" s="54">
        <f t="shared" si="2"/>
        <v>-13697</v>
      </c>
      <c r="L67" s="60"/>
      <c r="M67" s="31"/>
      <c r="N67" s="61"/>
      <c r="O67" s="60"/>
      <c r="P67" s="31"/>
      <c r="Q67" s="61"/>
      <c r="R67" s="60"/>
      <c r="S67" s="31"/>
      <c r="T67" s="61"/>
      <c r="U67" s="60"/>
      <c r="V67" s="31"/>
      <c r="W67" s="61"/>
      <c r="X67" s="60"/>
      <c r="Y67" s="31"/>
      <c r="Z67" s="61"/>
      <c r="AA67" s="60"/>
      <c r="AB67" s="31"/>
      <c r="AC67" s="61"/>
      <c r="AD67" s="60"/>
      <c r="AE67" s="31"/>
      <c r="AF67" s="61"/>
      <c r="AG67" s="60"/>
      <c r="AH67" s="31"/>
      <c r="AI67" s="61"/>
      <c r="AJ67" s="60"/>
      <c r="AK67" s="31"/>
      <c r="AL67" s="61"/>
      <c r="AM67" s="60"/>
      <c r="AN67" s="31"/>
      <c r="AO67" s="61"/>
      <c r="AP67" s="60"/>
      <c r="AQ67" s="31"/>
      <c r="AR67" s="61"/>
      <c r="AS67" s="60"/>
      <c r="AT67" s="31"/>
      <c r="AU67" s="61"/>
    </row>
    <row r="68" ht="36.75" customHeight="1">
      <c r="A68" s="63"/>
      <c r="B68" s="99"/>
      <c r="C68" s="88" t="str">
        <f t="shared" si="4"/>
        <v>#REF!</v>
      </c>
      <c r="D68" s="89" t="s">
        <v>262</v>
      </c>
      <c r="E68" s="51" t="str">
        <f t="shared" si="5"/>
        <v>#REF!</v>
      </c>
      <c r="F68" s="90">
        <v>1.0</v>
      </c>
      <c r="G68" s="51" t="s">
        <v>113</v>
      </c>
      <c r="H68" s="51">
        <f>'PAINEL DE CONTROLE'!$D$5</f>
        <v>13697</v>
      </c>
      <c r="I68" s="51"/>
      <c r="J68" s="51"/>
      <c r="K68" s="54">
        <f t="shared" si="2"/>
        <v>-13697</v>
      </c>
      <c r="L68" s="60"/>
      <c r="M68" s="31"/>
      <c r="N68" s="61"/>
      <c r="O68" s="60"/>
      <c r="P68" s="31"/>
      <c r="Q68" s="61"/>
      <c r="R68" s="60"/>
      <c r="S68" s="31"/>
      <c r="T68" s="61"/>
      <c r="U68" s="60"/>
      <c r="V68" s="31"/>
      <c r="W68" s="61"/>
      <c r="X68" s="60"/>
      <c r="Y68" s="31"/>
      <c r="Z68" s="61"/>
      <c r="AA68" s="60"/>
      <c r="AB68" s="31"/>
      <c r="AC68" s="61"/>
      <c r="AD68" s="60"/>
      <c r="AE68" s="31"/>
      <c r="AF68" s="61"/>
      <c r="AG68" s="60"/>
      <c r="AH68" s="31"/>
      <c r="AI68" s="61"/>
      <c r="AJ68" s="60"/>
      <c r="AK68" s="31"/>
      <c r="AL68" s="61"/>
      <c r="AM68" s="60"/>
      <c r="AN68" s="31"/>
      <c r="AO68" s="61"/>
      <c r="AP68" s="60"/>
      <c r="AQ68" s="31"/>
      <c r="AR68" s="61"/>
      <c r="AS68" s="60"/>
      <c r="AT68" s="31"/>
      <c r="AU68" s="61"/>
    </row>
    <row r="69" ht="60.0" customHeight="1">
      <c r="A69" s="72" t="s">
        <v>263</v>
      </c>
      <c r="B69" s="73" t="s">
        <v>264</v>
      </c>
      <c r="C69" s="75" t="str">
        <f t="shared" si="4"/>
        <v>#REF!</v>
      </c>
      <c r="D69" s="74" t="s">
        <v>210</v>
      </c>
      <c r="E69" s="57" t="str">
        <f t="shared" si="5"/>
        <v>#REF!</v>
      </c>
      <c r="F69" s="58">
        <v>1.0</v>
      </c>
      <c r="G69" s="57">
        <v>12000.0</v>
      </c>
      <c r="H69" s="57">
        <f>'PAINEL DE CONTROLE'!$D$5</f>
        <v>13697</v>
      </c>
      <c r="I69" s="57"/>
      <c r="J69" s="57">
        <f t="shared" ref="J69:J70" si="10">SUM(I69+G69)</f>
        <v>12000</v>
      </c>
      <c r="K69" s="54">
        <f t="shared" si="2"/>
        <v>-1697</v>
      </c>
      <c r="L69" s="60"/>
      <c r="M69" s="31"/>
      <c r="N69" s="61"/>
      <c r="O69" s="60"/>
      <c r="P69" s="31"/>
      <c r="Q69" s="61"/>
      <c r="R69" s="60"/>
      <c r="S69" s="31"/>
      <c r="T69" s="61"/>
      <c r="U69" s="60"/>
      <c r="V69" s="31"/>
      <c r="W69" s="61"/>
      <c r="X69" s="60"/>
      <c r="Y69" s="31"/>
      <c r="Z69" s="61"/>
      <c r="AA69" s="60"/>
      <c r="AB69" s="31"/>
      <c r="AC69" s="61"/>
      <c r="AD69" s="60"/>
      <c r="AE69" s="31"/>
      <c r="AF69" s="61"/>
      <c r="AG69" s="60"/>
      <c r="AH69" s="31"/>
      <c r="AI69" s="61"/>
      <c r="AJ69" s="60"/>
      <c r="AK69" s="31"/>
      <c r="AL69" s="61"/>
      <c r="AM69" s="60"/>
      <c r="AN69" s="31"/>
      <c r="AO69" s="61"/>
      <c r="AP69" s="60"/>
      <c r="AQ69" s="31"/>
      <c r="AR69" s="61"/>
      <c r="AS69" s="60"/>
      <c r="AT69" s="31"/>
      <c r="AU69" s="61"/>
    </row>
    <row r="70" ht="60.0" customHeight="1">
      <c r="A70" s="63"/>
      <c r="B70" s="73" t="s">
        <v>265</v>
      </c>
      <c r="C70" s="75" t="str">
        <f t="shared" si="4"/>
        <v>#REF!</v>
      </c>
      <c r="D70" s="74" t="s">
        <v>266</v>
      </c>
      <c r="E70" s="57" t="str">
        <f t="shared" si="5"/>
        <v>#REF!</v>
      </c>
      <c r="F70" s="58">
        <v>1.0</v>
      </c>
      <c r="G70" s="57">
        <v>6000.0</v>
      </c>
      <c r="H70" s="57">
        <f>'PAINEL DE CONTROLE'!$D$5</f>
        <v>13697</v>
      </c>
      <c r="I70" s="57"/>
      <c r="J70" s="57">
        <f t="shared" si="10"/>
        <v>6000</v>
      </c>
      <c r="K70" s="54">
        <f t="shared" si="2"/>
        <v>-7697</v>
      </c>
      <c r="L70" s="60"/>
      <c r="M70" s="31"/>
      <c r="N70" s="61"/>
      <c r="O70" s="60"/>
      <c r="P70" s="31"/>
      <c r="Q70" s="61"/>
      <c r="R70" s="60"/>
      <c r="S70" s="31"/>
      <c r="T70" s="61"/>
      <c r="U70" s="60"/>
      <c r="V70" s="31"/>
      <c r="W70" s="61"/>
      <c r="X70" s="60"/>
      <c r="Y70" s="31"/>
      <c r="Z70" s="61"/>
      <c r="AA70" s="60"/>
      <c r="AB70" s="31"/>
      <c r="AC70" s="61"/>
      <c r="AD70" s="60"/>
      <c r="AE70" s="31"/>
      <c r="AF70" s="61"/>
      <c r="AG70" s="60"/>
      <c r="AH70" s="31"/>
      <c r="AI70" s="61"/>
      <c r="AJ70" s="60"/>
      <c r="AK70" s="31"/>
      <c r="AL70" s="61"/>
      <c r="AM70" s="60"/>
      <c r="AN70" s="31"/>
      <c r="AO70" s="61"/>
      <c r="AP70" s="60"/>
      <c r="AQ70" s="31"/>
      <c r="AR70" s="61"/>
      <c r="AS70" s="60"/>
      <c r="AT70" s="31"/>
      <c r="AU70" s="61"/>
    </row>
    <row r="71" ht="36.75" customHeight="1">
      <c r="A71" s="87" t="s">
        <v>267</v>
      </c>
      <c r="B71" s="100"/>
      <c r="C71" s="88" t="str">
        <f t="shared" si="4"/>
        <v>#REF!</v>
      </c>
      <c r="D71" s="89" t="s">
        <v>268</v>
      </c>
      <c r="E71" s="51" t="str">
        <f t="shared" si="5"/>
        <v>#REF!</v>
      </c>
      <c r="F71" s="90">
        <v>1.0</v>
      </c>
      <c r="G71" s="51" t="s">
        <v>113</v>
      </c>
      <c r="H71" s="51">
        <f>'PAINEL DE CONTROLE'!$D$5</f>
        <v>13697</v>
      </c>
      <c r="I71" s="51"/>
      <c r="J71" s="51"/>
      <c r="K71" s="54">
        <f t="shared" si="2"/>
        <v>-13697</v>
      </c>
      <c r="L71" s="60"/>
      <c r="M71" s="31"/>
      <c r="N71" s="61"/>
      <c r="O71" s="60"/>
      <c r="P71" s="31"/>
      <c r="Q71" s="61"/>
      <c r="R71" s="60"/>
      <c r="S71" s="31"/>
      <c r="T71" s="61"/>
      <c r="U71" s="60"/>
      <c r="V71" s="31"/>
      <c r="W71" s="61"/>
      <c r="X71" s="60"/>
      <c r="Y71" s="31"/>
      <c r="Z71" s="61"/>
      <c r="AA71" s="60"/>
      <c r="AB71" s="31"/>
      <c r="AC71" s="61"/>
      <c r="AD71" s="60"/>
      <c r="AE71" s="31"/>
      <c r="AF71" s="61"/>
      <c r="AG71" s="60"/>
      <c r="AH71" s="31"/>
      <c r="AI71" s="61"/>
      <c r="AJ71" s="60"/>
      <c r="AK71" s="31"/>
      <c r="AL71" s="61"/>
      <c r="AM71" s="60"/>
      <c r="AN71" s="31"/>
      <c r="AO71" s="61"/>
      <c r="AP71" s="60"/>
      <c r="AQ71" s="31"/>
      <c r="AR71" s="61"/>
      <c r="AS71" s="60"/>
      <c r="AT71" s="31"/>
      <c r="AU71" s="61"/>
    </row>
    <row r="72" ht="36.75" customHeight="1">
      <c r="A72" s="62"/>
      <c r="B72" s="101" t="s">
        <v>269</v>
      </c>
      <c r="C72" s="88" t="str">
        <f t="shared" si="4"/>
        <v>#REF!</v>
      </c>
      <c r="D72" s="89" t="s">
        <v>270</v>
      </c>
      <c r="E72" s="51" t="str">
        <f t="shared" si="5"/>
        <v>#REF!</v>
      </c>
      <c r="F72" s="90">
        <v>1.0</v>
      </c>
      <c r="G72" s="51">
        <v>6000.0</v>
      </c>
      <c r="H72" s="51">
        <f>'PAINEL DE CONTROLE'!$D$5</f>
        <v>13697</v>
      </c>
      <c r="I72" s="51"/>
      <c r="J72" s="51"/>
      <c r="K72" s="54">
        <f t="shared" si="2"/>
        <v>-13697</v>
      </c>
      <c r="L72" s="60"/>
      <c r="M72" s="31"/>
      <c r="N72" s="61"/>
      <c r="O72" s="60"/>
      <c r="P72" s="31"/>
      <c r="Q72" s="61"/>
      <c r="R72" s="60"/>
      <c r="S72" s="31"/>
      <c r="T72" s="61"/>
      <c r="U72" s="60"/>
      <c r="V72" s="31"/>
      <c r="W72" s="61"/>
      <c r="X72" s="60"/>
      <c r="Y72" s="31"/>
      <c r="Z72" s="61"/>
      <c r="AA72" s="60"/>
      <c r="AB72" s="31"/>
      <c r="AC72" s="61"/>
      <c r="AD72" s="60"/>
      <c r="AE72" s="31"/>
      <c r="AF72" s="61"/>
      <c r="AG72" s="60"/>
      <c r="AH72" s="31"/>
      <c r="AI72" s="61"/>
      <c r="AJ72" s="60"/>
      <c r="AK72" s="31"/>
      <c r="AL72" s="61"/>
      <c r="AM72" s="60"/>
      <c r="AN72" s="31"/>
      <c r="AO72" s="61"/>
      <c r="AP72" s="60"/>
      <c r="AQ72" s="31"/>
      <c r="AR72" s="61"/>
      <c r="AS72" s="60"/>
      <c r="AT72" s="31"/>
      <c r="AU72" s="61"/>
    </row>
    <row r="73" ht="36.75" customHeight="1">
      <c r="A73" s="62"/>
      <c r="B73" s="101" t="s">
        <v>271</v>
      </c>
      <c r="C73" s="88" t="str">
        <f t="shared" si="4"/>
        <v>#REF!</v>
      </c>
      <c r="D73" s="89" t="s">
        <v>272</v>
      </c>
      <c r="E73" s="51" t="str">
        <f t="shared" si="5"/>
        <v>#REF!</v>
      </c>
      <c r="F73" s="90">
        <v>1.0</v>
      </c>
      <c r="G73" s="51">
        <v>12000.0</v>
      </c>
      <c r="H73" s="51">
        <f>'PAINEL DE CONTROLE'!$D$5</f>
        <v>13697</v>
      </c>
      <c r="I73" s="51"/>
      <c r="J73" s="51"/>
      <c r="K73" s="54">
        <f t="shared" si="2"/>
        <v>-13697</v>
      </c>
      <c r="L73" s="60"/>
      <c r="M73" s="31"/>
      <c r="N73" s="61"/>
      <c r="O73" s="60"/>
      <c r="P73" s="31"/>
      <c r="Q73" s="61"/>
      <c r="R73" s="60"/>
      <c r="S73" s="31"/>
      <c r="T73" s="61"/>
      <c r="U73" s="60"/>
      <c r="V73" s="31"/>
      <c r="W73" s="61"/>
      <c r="X73" s="60"/>
      <c r="Y73" s="31"/>
      <c r="Z73" s="61"/>
      <c r="AA73" s="60"/>
      <c r="AB73" s="31"/>
      <c r="AC73" s="61"/>
      <c r="AD73" s="60"/>
      <c r="AE73" s="31"/>
      <c r="AF73" s="61"/>
      <c r="AG73" s="60"/>
      <c r="AH73" s="31"/>
      <c r="AI73" s="61"/>
      <c r="AJ73" s="60"/>
      <c r="AK73" s="31"/>
      <c r="AL73" s="61"/>
      <c r="AM73" s="60"/>
      <c r="AN73" s="31"/>
      <c r="AO73" s="61"/>
      <c r="AP73" s="60"/>
      <c r="AQ73" s="31"/>
      <c r="AR73" s="61"/>
      <c r="AS73" s="60"/>
      <c r="AT73" s="31"/>
      <c r="AU73" s="61"/>
    </row>
    <row r="74" ht="36.75" customHeight="1">
      <c r="A74" s="62"/>
      <c r="B74" s="100"/>
      <c r="C74" s="88" t="str">
        <f t="shared" si="4"/>
        <v>#REF!</v>
      </c>
      <c r="D74" s="89" t="s">
        <v>273</v>
      </c>
      <c r="E74" s="51" t="str">
        <f t="shared" si="5"/>
        <v>#REF!</v>
      </c>
      <c r="F74" s="90">
        <v>1.0</v>
      </c>
      <c r="G74" s="51" t="s">
        <v>113</v>
      </c>
      <c r="H74" s="51">
        <f>'PAINEL DE CONTROLE'!$D$5</f>
        <v>13697</v>
      </c>
      <c r="I74" s="51"/>
      <c r="J74" s="51"/>
      <c r="K74" s="54">
        <f t="shared" si="2"/>
        <v>-13697</v>
      </c>
      <c r="L74" s="60"/>
      <c r="M74" s="31"/>
      <c r="N74" s="61"/>
      <c r="O74" s="60"/>
      <c r="P74" s="31"/>
      <c r="Q74" s="61"/>
      <c r="R74" s="60"/>
      <c r="S74" s="31"/>
      <c r="T74" s="61"/>
      <c r="U74" s="60"/>
      <c r="V74" s="31"/>
      <c r="W74" s="61"/>
      <c r="X74" s="60"/>
      <c r="Y74" s="31"/>
      <c r="Z74" s="61"/>
      <c r="AA74" s="60"/>
      <c r="AB74" s="31"/>
      <c r="AC74" s="61"/>
      <c r="AD74" s="60"/>
      <c r="AE74" s="31"/>
      <c r="AF74" s="61"/>
      <c r="AG74" s="60"/>
      <c r="AH74" s="31"/>
      <c r="AI74" s="61"/>
      <c r="AJ74" s="60"/>
      <c r="AK74" s="31"/>
      <c r="AL74" s="61"/>
      <c r="AM74" s="60"/>
      <c r="AN74" s="31"/>
      <c r="AO74" s="61"/>
      <c r="AP74" s="60"/>
      <c r="AQ74" s="31"/>
      <c r="AR74" s="61"/>
      <c r="AS74" s="60"/>
      <c r="AT74" s="31"/>
      <c r="AU74" s="61"/>
    </row>
    <row r="75" ht="36.75" customHeight="1">
      <c r="A75" s="62"/>
      <c r="B75" s="100"/>
      <c r="C75" s="88" t="str">
        <f t="shared" si="4"/>
        <v>#REF!</v>
      </c>
      <c r="D75" s="89" t="s">
        <v>274</v>
      </c>
      <c r="E75" s="51" t="str">
        <f t="shared" si="5"/>
        <v>#REF!</v>
      </c>
      <c r="F75" s="90">
        <v>1.0</v>
      </c>
      <c r="G75" s="51" t="s">
        <v>113</v>
      </c>
      <c r="H75" s="51">
        <f>'PAINEL DE CONTROLE'!$D$5</f>
        <v>13697</v>
      </c>
      <c r="I75" s="51"/>
      <c r="J75" s="51"/>
      <c r="K75" s="54">
        <f t="shared" si="2"/>
        <v>-13697</v>
      </c>
      <c r="L75" s="60"/>
      <c r="M75" s="31"/>
      <c r="N75" s="61"/>
      <c r="O75" s="60"/>
      <c r="P75" s="31"/>
      <c r="Q75" s="61"/>
      <c r="R75" s="60"/>
      <c r="S75" s="31"/>
      <c r="T75" s="61"/>
      <c r="U75" s="60"/>
      <c r="V75" s="31"/>
      <c r="W75" s="61"/>
      <c r="X75" s="60"/>
      <c r="Y75" s="31"/>
      <c r="Z75" s="61"/>
      <c r="AA75" s="60"/>
      <c r="AB75" s="31"/>
      <c r="AC75" s="61"/>
      <c r="AD75" s="60"/>
      <c r="AE75" s="31"/>
      <c r="AF75" s="61"/>
      <c r="AG75" s="60"/>
      <c r="AH75" s="31"/>
      <c r="AI75" s="61"/>
      <c r="AJ75" s="60"/>
      <c r="AK75" s="31"/>
      <c r="AL75" s="61"/>
      <c r="AM75" s="60"/>
      <c r="AN75" s="31"/>
      <c r="AO75" s="61"/>
      <c r="AP75" s="60"/>
      <c r="AQ75" s="31"/>
      <c r="AR75" s="61"/>
      <c r="AS75" s="60"/>
      <c r="AT75" s="31"/>
      <c r="AU75" s="61"/>
    </row>
    <row r="76" ht="36.75" customHeight="1">
      <c r="A76" s="63"/>
      <c r="B76" s="100"/>
      <c r="C76" s="88" t="str">
        <f t="shared" si="4"/>
        <v>#REF!</v>
      </c>
      <c r="D76" s="89" t="s">
        <v>275</v>
      </c>
      <c r="E76" s="51" t="str">
        <f t="shared" si="5"/>
        <v>#REF!</v>
      </c>
      <c r="F76" s="90">
        <v>1.0</v>
      </c>
      <c r="G76" s="51" t="s">
        <v>113</v>
      </c>
      <c r="H76" s="51">
        <f>'PAINEL DE CONTROLE'!$D$5</f>
        <v>13697</v>
      </c>
      <c r="I76" s="51"/>
      <c r="J76" s="51"/>
      <c r="K76" s="54">
        <f t="shared" si="2"/>
        <v>-13697</v>
      </c>
      <c r="L76" s="60"/>
      <c r="M76" s="31"/>
      <c r="N76" s="61"/>
      <c r="O76" s="60"/>
      <c r="P76" s="31"/>
      <c r="Q76" s="61"/>
      <c r="R76" s="60"/>
      <c r="S76" s="31"/>
      <c r="T76" s="61"/>
      <c r="U76" s="60"/>
      <c r="V76" s="31"/>
      <c r="W76" s="61"/>
      <c r="X76" s="60"/>
      <c r="Y76" s="31"/>
      <c r="Z76" s="61"/>
      <c r="AA76" s="60"/>
      <c r="AB76" s="31"/>
      <c r="AC76" s="61"/>
      <c r="AD76" s="60"/>
      <c r="AE76" s="31"/>
      <c r="AF76" s="61"/>
      <c r="AG76" s="60"/>
      <c r="AH76" s="31"/>
      <c r="AI76" s="61"/>
      <c r="AJ76" s="60"/>
      <c r="AK76" s="31"/>
      <c r="AL76" s="61"/>
      <c r="AM76" s="60"/>
      <c r="AN76" s="31"/>
      <c r="AO76" s="61"/>
      <c r="AP76" s="60"/>
      <c r="AQ76" s="31"/>
      <c r="AR76" s="61"/>
      <c r="AS76" s="60"/>
      <c r="AT76" s="31"/>
      <c r="AU76" s="61"/>
    </row>
    <row r="77" ht="36.75" customHeight="1">
      <c r="A77" s="72" t="s">
        <v>276</v>
      </c>
      <c r="B77" s="100"/>
      <c r="C77" s="75" t="str">
        <f t="shared" si="4"/>
        <v>#REF!</v>
      </c>
      <c r="D77" s="74" t="s">
        <v>277</v>
      </c>
      <c r="E77" s="57" t="str">
        <f t="shared" si="5"/>
        <v>#REF!</v>
      </c>
      <c r="F77" s="58">
        <v>1.0</v>
      </c>
      <c r="G77" s="57" t="s">
        <v>113</v>
      </c>
      <c r="H77" s="57">
        <f>'PAINEL DE CONTROLE'!$D$5</f>
        <v>13697</v>
      </c>
      <c r="I77" s="57"/>
      <c r="J77" s="57"/>
      <c r="K77" s="54">
        <f t="shared" si="2"/>
        <v>-13697</v>
      </c>
      <c r="L77" s="92"/>
      <c r="M77" s="93"/>
      <c r="N77" s="94"/>
      <c r="O77" s="92"/>
      <c r="P77" s="93"/>
      <c r="Q77" s="94"/>
      <c r="R77" s="92"/>
      <c r="S77" s="93"/>
      <c r="T77" s="94"/>
      <c r="U77" s="92"/>
      <c r="V77" s="93"/>
      <c r="W77" s="94"/>
      <c r="X77" s="92"/>
      <c r="Y77" s="93"/>
      <c r="Z77" s="94"/>
      <c r="AA77" s="92"/>
      <c r="AB77" s="93"/>
      <c r="AC77" s="94"/>
      <c r="AD77" s="92"/>
      <c r="AE77" s="93"/>
      <c r="AF77" s="94"/>
      <c r="AG77" s="92"/>
      <c r="AH77" s="93"/>
      <c r="AI77" s="94"/>
      <c r="AJ77" s="92"/>
      <c r="AK77" s="93"/>
      <c r="AL77" s="94"/>
      <c r="AM77" s="92"/>
      <c r="AN77" s="93"/>
      <c r="AO77" s="94"/>
      <c r="AP77" s="92"/>
      <c r="AQ77" s="93"/>
      <c r="AR77" s="94"/>
      <c r="AS77" s="92"/>
      <c r="AT77" s="93"/>
      <c r="AU77" s="94"/>
    </row>
    <row r="78" ht="36.75" customHeight="1">
      <c r="A78" s="63"/>
      <c r="B78" s="100"/>
      <c r="C78" s="75" t="str">
        <f t="shared" si="4"/>
        <v>#REF!</v>
      </c>
      <c r="D78" s="74" t="s">
        <v>278</v>
      </c>
      <c r="E78" s="57" t="str">
        <f t="shared" si="5"/>
        <v>#REF!</v>
      </c>
      <c r="F78" s="58">
        <v>1.0</v>
      </c>
      <c r="G78" s="57" t="s">
        <v>113</v>
      </c>
      <c r="H78" s="57">
        <f>'PAINEL DE CONTROLE'!$D$5</f>
        <v>13697</v>
      </c>
      <c r="I78" s="57"/>
      <c r="J78" s="57"/>
      <c r="K78" s="54">
        <f t="shared" si="2"/>
        <v>-13697</v>
      </c>
      <c r="L78" s="92"/>
      <c r="M78" s="93"/>
      <c r="N78" s="94"/>
      <c r="O78" s="92"/>
      <c r="P78" s="93"/>
      <c r="Q78" s="94"/>
      <c r="R78" s="92"/>
      <c r="S78" s="93"/>
      <c r="T78" s="94"/>
      <c r="U78" s="92"/>
      <c r="V78" s="93"/>
      <c r="W78" s="94"/>
      <c r="X78" s="92"/>
      <c r="Y78" s="93"/>
      <c r="Z78" s="94"/>
      <c r="AA78" s="92"/>
      <c r="AB78" s="93"/>
      <c r="AC78" s="94"/>
      <c r="AD78" s="92"/>
      <c r="AE78" s="93"/>
      <c r="AF78" s="94"/>
      <c r="AG78" s="92"/>
      <c r="AH78" s="93"/>
      <c r="AI78" s="94"/>
      <c r="AJ78" s="92"/>
      <c r="AK78" s="93"/>
      <c r="AL78" s="94"/>
      <c r="AM78" s="92"/>
      <c r="AN78" s="93"/>
      <c r="AO78" s="94"/>
      <c r="AP78" s="92"/>
      <c r="AQ78" s="93"/>
      <c r="AR78" s="94"/>
      <c r="AS78" s="92"/>
      <c r="AT78" s="93"/>
      <c r="AU78" s="94"/>
    </row>
    <row r="79" ht="83.25" customHeight="1">
      <c r="A79" s="101" t="s">
        <v>279</v>
      </c>
      <c r="B79" s="100"/>
      <c r="C79" s="88" t="str">
        <f t="shared" si="4"/>
        <v>#REF!</v>
      </c>
      <c r="D79" s="89" t="s">
        <v>280</v>
      </c>
      <c r="E79" s="51" t="str">
        <f t="shared" si="5"/>
        <v>#REF!</v>
      </c>
      <c r="F79" s="90">
        <v>1.0</v>
      </c>
      <c r="G79" s="51" t="s">
        <v>113</v>
      </c>
      <c r="H79" s="51">
        <f>'PAINEL DE CONTROLE'!$D$5</f>
        <v>13697</v>
      </c>
      <c r="I79" s="51"/>
      <c r="J79" s="51"/>
      <c r="K79" s="54">
        <f t="shared" si="2"/>
        <v>-13697</v>
      </c>
      <c r="L79" s="60"/>
      <c r="M79" s="31"/>
      <c r="N79" s="61"/>
      <c r="O79" s="60"/>
      <c r="P79" s="31"/>
      <c r="Q79" s="61"/>
      <c r="R79" s="60"/>
      <c r="S79" s="31"/>
      <c r="T79" s="61"/>
      <c r="U79" s="60"/>
      <c r="V79" s="31"/>
      <c r="W79" s="61"/>
      <c r="X79" s="60"/>
      <c r="Y79" s="31"/>
      <c r="Z79" s="61"/>
      <c r="AA79" s="60"/>
      <c r="AB79" s="31"/>
      <c r="AC79" s="61"/>
      <c r="AD79" s="60"/>
      <c r="AE79" s="31"/>
      <c r="AF79" s="61"/>
      <c r="AG79" s="60"/>
      <c r="AH79" s="31"/>
      <c r="AI79" s="61"/>
      <c r="AJ79" s="60"/>
      <c r="AK79" s="31"/>
      <c r="AL79" s="61"/>
      <c r="AM79" s="60"/>
      <c r="AN79" s="31"/>
      <c r="AO79" s="61"/>
      <c r="AP79" s="60"/>
      <c r="AQ79" s="31"/>
      <c r="AR79" s="61"/>
      <c r="AS79" s="60"/>
      <c r="AT79" s="31"/>
      <c r="AU79" s="61"/>
    </row>
    <row r="80" ht="36.75" customHeight="1">
      <c r="A80" s="72" t="s">
        <v>281</v>
      </c>
      <c r="B80" s="73" t="s">
        <v>282</v>
      </c>
      <c r="C80" s="75" t="str">
        <f t="shared" si="4"/>
        <v>#REF!</v>
      </c>
      <c r="D80" s="74" t="s">
        <v>205</v>
      </c>
      <c r="E80" s="57" t="str">
        <f t="shared" si="5"/>
        <v>#REF!</v>
      </c>
      <c r="F80" s="58">
        <v>1.0</v>
      </c>
      <c r="G80" s="57">
        <v>6000.0</v>
      </c>
      <c r="H80" s="57">
        <f>'PAINEL DE CONTROLE'!$D$5</f>
        <v>13697</v>
      </c>
      <c r="I80" s="57"/>
      <c r="J80" s="57">
        <f t="shared" ref="J80:J83" si="11">SUM(I80+G80)</f>
        <v>6000</v>
      </c>
      <c r="K80" s="54">
        <f t="shared" si="2"/>
        <v>-7697</v>
      </c>
      <c r="L80" s="60"/>
      <c r="M80" s="31"/>
      <c r="N80" s="61"/>
      <c r="O80" s="60"/>
      <c r="P80" s="31"/>
      <c r="Q80" s="61"/>
      <c r="R80" s="60"/>
      <c r="S80" s="31"/>
      <c r="T80" s="61"/>
      <c r="U80" s="60"/>
      <c r="V80" s="31"/>
      <c r="W80" s="61"/>
      <c r="X80" s="60"/>
      <c r="Y80" s="31"/>
      <c r="Z80" s="61"/>
      <c r="AA80" s="60"/>
      <c r="AB80" s="31"/>
      <c r="AC80" s="61"/>
      <c r="AD80" s="60"/>
      <c r="AE80" s="31"/>
      <c r="AF80" s="61"/>
      <c r="AG80" s="60"/>
      <c r="AH80" s="31"/>
      <c r="AI80" s="61"/>
      <c r="AJ80" s="60"/>
      <c r="AK80" s="31"/>
      <c r="AL80" s="61"/>
      <c r="AM80" s="60"/>
      <c r="AN80" s="31"/>
      <c r="AO80" s="61"/>
      <c r="AP80" s="60"/>
      <c r="AQ80" s="31"/>
      <c r="AR80" s="61"/>
      <c r="AS80" s="60"/>
      <c r="AT80" s="31"/>
      <c r="AU80" s="61"/>
    </row>
    <row r="81" ht="36.75" customHeight="1">
      <c r="A81" s="63"/>
      <c r="B81" s="73" t="s">
        <v>283</v>
      </c>
      <c r="C81" s="75" t="str">
        <f t="shared" si="4"/>
        <v>#REF!</v>
      </c>
      <c r="D81" s="74" t="s">
        <v>284</v>
      </c>
      <c r="E81" s="57" t="str">
        <f t="shared" si="5"/>
        <v>#REF!</v>
      </c>
      <c r="F81" s="58">
        <v>1.0</v>
      </c>
      <c r="G81" s="57">
        <v>1000.0</v>
      </c>
      <c r="H81" s="57">
        <f>'PAINEL DE CONTROLE'!$D$5</f>
        <v>13697</v>
      </c>
      <c r="I81" s="57">
        <v>100800.0</v>
      </c>
      <c r="J81" s="57">
        <f t="shared" si="11"/>
        <v>101800</v>
      </c>
      <c r="K81" s="54">
        <f t="shared" si="2"/>
        <v>88103</v>
      </c>
      <c r="L81" s="60"/>
      <c r="M81" s="31"/>
      <c r="N81" s="61"/>
      <c r="O81" s="60"/>
      <c r="P81" s="31"/>
      <c r="Q81" s="61"/>
      <c r="R81" s="60"/>
      <c r="S81" s="31"/>
      <c r="T81" s="61"/>
      <c r="U81" s="60"/>
      <c r="V81" s="31"/>
      <c r="W81" s="61"/>
      <c r="X81" s="60"/>
      <c r="Y81" s="31"/>
      <c r="Z81" s="61"/>
      <c r="AA81" s="60"/>
      <c r="AB81" s="31"/>
      <c r="AC81" s="61"/>
      <c r="AD81" s="60"/>
      <c r="AE81" s="31"/>
      <c r="AF81" s="61"/>
      <c r="AG81" s="60"/>
      <c r="AH81" s="31"/>
      <c r="AI81" s="61"/>
      <c r="AJ81" s="60"/>
      <c r="AK81" s="31"/>
      <c r="AL81" s="61"/>
      <c r="AM81" s="60"/>
      <c r="AN81" s="31"/>
      <c r="AO81" s="61"/>
      <c r="AP81" s="60"/>
      <c r="AQ81" s="31"/>
      <c r="AR81" s="61"/>
      <c r="AS81" s="60"/>
      <c r="AT81" s="31"/>
      <c r="AU81" s="61"/>
    </row>
    <row r="82" ht="60.0" customHeight="1">
      <c r="A82" s="87" t="s">
        <v>285</v>
      </c>
      <c r="B82" s="95"/>
      <c r="C82" s="88" t="str">
        <f t="shared" si="4"/>
        <v>#REF!</v>
      </c>
      <c r="D82" s="89" t="s">
        <v>116</v>
      </c>
      <c r="E82" s="51" t="str">
        <f t="shared" si="5"/>
        <v>#REF!</v>
      </c>
      <c r="F82" s="90">
        <v>1.0</v>
      </c>
      <c r="G82" s="51" t="s">
        <v>113</v>
      </c>
      <c r="H82" s="51">
        <f>'PAINEL DE CONTROLE'!$D$5</f>
        <v>13697</v>
      </c>
      <c r="I82" s="51">
        <v>100800.0</v>
      </c>
      <c r="J82" s="51" t="str">
        <f t="shared" si="11"/>
        <v>#VALUE!</v>
      </c>
      <c r="K82" s="54" t="str">
        <f t="shared" si="2"/>
        <v>#VALUE!</v>
      </c>
      <c r="L82" s="60"/>
      <c r="M82" s="31"/>
      <c r="N82" s="61"/>
      <c r="O82" s="60"/>
      <c r="P82" s="31"/>
      <c r="Q82" s="61"/>
      <c r="R82" s="60"/>
      <c r="S82" s="31"/>
      <c r="T82" s="61"/>
      <c r="U82" s="60"/>
      <c r="V82" s="31"/>
      <c r="W82" s="61"/>
      <c r="X82" s="60"/>
      <c r="Y82" s="31"/>
      <c r="Z82" s="61"/>
      <c r="AA82" s="60"/>
      <c r="AB82" s="31"/>
      <c r="AC82" s="61"/>
      <c r="AD82" s="60"/>
      <c r="AE82" s="31"/>
      <c r="AF82" s="61"/>
      <c r="AG82" s="60"/>
      <c r="AH82" s="31"/>
      <c r="AI82" s="61"/>
      <c r="AJ82" s="60"/>
      <c r="AK82" s="31"/>
      <c r="AL82" s="61"/>
      <c r="AM82" s="60"/>
      <c r="AN82" s="31"/>
      <c r="AO82" s="61"/>
      <c r="AP82" s="60"/>
      <c r="AQ82" s="31"/>
      <c r="AR82" s="61"/>
      <c r="AS82" s="60"/>
      <c r="AT82" s="31"/>
      <c r="AU82" s="61"/>
    </row>
    <row r="83" ht="60.0" customHeight="1">
      <c r="A83" s="63"/>
      <c r="B83" s="95"/>
      <c r="C83" s="88" t="str">
        <f t="shared" si="4"/>
        <v>#REF!</v>
      </c>
      <c r="D83" s="89" t="s">
        <v>238</v>
      </c>
      <c r="E83" s="51" t="str">
        <f t="shared" si="5"/>
        <v>#REF!</v>
      </c>
      <c r="F83" s="90">
        <v>2.0</v>
      </c>
      <c r="G83" s="51" t="s">
        <v>113</v>
      </c>
      <c r="H83" s="51">
        <f>'PAINEL DE CONTROLE'!$D$5</f>
        <v>13697</v>
      </c>
      <c r="I83" s="51">
        <v>100800.0</v>
      </c>
      <c r="J83" s="51" t="str">
        <f t="shared" si="11"/>
        <v>#VALUE!</v>
      </c>
      <c r="K83" s="54" t="str">
        <f t="shared" si="2"/>
        <v>#VALUE!</v>
      </c>
      <c r="L83" s="60"/>
      <c r="M83" s="31"/>
      <c r="N83" s="61"/>
      <c r="O83" s="60"/>
      <c r="P83" s="31"/>
      <c r="Q83" s="61"/>
      <c r="R83" s="60"/>
      <c r="S83" s="31"/>
      <c r="T83" s="61"/>
      <c r="U83" s="60"/>
      <c r="V83" s="31"/>
      <c r="W83" s="61"/>
      <c r="X83" s="60"/>
      <c r="Y83" s="31"/>
      <c r="Z83" s="61"/>
      <c r="AA83" s="60"/>
      <c r="AB83" s="31"/>
      <c r="AC83" s="61"/>
      <c r="AD83" s="60"/>
      <c r="AE83" s="31"/>
      <c r="AF83" s="61"/>
      <c r="AG83" s="60"/>
      <c r="AH83" s="31"/>
      <c r="AI83" s="61"/>
      <c r="AJ83" s="60"/>
      <c r="AK83" s="31"/>
      <c r="AL83" s="61"/>
      <c r="AM83" s="60"/>
      <c r="AN83" s="31"/>
      <c r="AO83" s="61"/>
      <c r="AP83" s="60"/>
      <c r="AQ83" s="31"/>
      <c r="AR83" s="61"/>
      <c r="AS83" s="60"/>
      <c r="AT83" s="31"/>
      <c r="AU83" s="61"/>
    </row>
    <row r="84" ht="57.75" customHeight="1">
      <c r="A84" s="72" t="s">
        <v>286</v>
      </c>
      <c r="B84" s="73" t="s">
        <v>287</v>
      </c>
      <c r="C84" s="75" t="str">
        <f t="shared" si="4"/>
        <v>#REF!</v>
      </c>
      <c r="D84" s="74" t="s">
        <v>288</v>
      </c>
      <c r="E84" s="57" t="str">
        <f t="shared" si="5"/>
        <v>#REF!</v>
      </c>
      <c r="F84" s="58">
        <v>1.0</v>
      </c>
      <c r="G84" s="57">
        <v>1000.0</v>
      </c>
      <c r="H84" s="57">
        <f>'PAINEL DE CONTROLE'!$D$5</f>
        <v>13697</v>
      </c>
      <c r="I84" s="57"/>
      <c r="J84" s="57"/>
      <c r="K84" s="54">
        <f t="shared" si="2"/>
        <v>-13697</v>
      </c>
      <c r="L84" s="92"/>
      <c r="M84" s="93"/>
      <c r="N84" s="94"/>
      <c r="O84" s="92"/>
      <c r="P84" s="93"/>
      <c r="Q84" s="94"/>
      <c r="R84" s="92"/>
      <c r="S84" s="93"/>
      <c r="T84" s="94"/>
      <c r="U84" s="92"/>
      <c r="V84" s="93"/>
      <c r="W84" s="94"/>
      <c r="X84" s="92"/>
      <c r="Y84" s="93"/>
      <c r="Z84" s="94"/>
      <c r="AA84" s="92"/>
      <c r="AB84" s="93"/>
      <c r="AC84" s="94"/>
      <c r="AD84" s="92"/>
      <c r="AE84" s="93"/>
      <c r="AF84" s="94"/>
      <c r="AG84" s="92"/>
      <c r="AH84" s="93"/>
      <c r="AI84" s="94"/>
      <c r="AJ84" s="92"/>
      <c r="AK84" s="93"/>
      <c r="AL84" s="94"/>
      <c r="AM84" s="92"/>
      <c r="AN84" s="93"/>
      <c r="AO84" s="94"/>
      <c r="AP84" s="92"/>
      <c r="AQ84" s="93"/>
      <c r="AR84" s="94"/>
      <c r="AS84" s="92"/>
      <c r="AT84" s="93"/>
      <c r="AU84" s="94"/>
    </row>
    <row r="85" ht="57.75" customHeight="1">
      <c r="A85" s="63"/>
      <c r="B85" s="73" t="s">
        <v>289</v>
      </c>
      <c r="C85" s="75" t="str">
        <f t="shared" si="4"/>
        <v>#REF!</v>
      </c>
      <c r="D85" s="74" t="s">
        <v>202</v>
      </c>
      <c r="E85" s="57" t="str">
        <f t="shared" si="5"/>
        <v>#REF!</v>
      </c>
      <c r="F85" s="58">
        <v>1.0</v>
      </c>
      <c r="G85" s="57">
        <v>6000.0</v>
      </c>
      <c r="H85" s="57">
        <f>'PAINEL DE CONTROLE'!$D$5</f>
        <v>13697</v>
      </c>
      <c r="I85" s="57"/>
      <c r="J85" s="57"/>
      <c r="K85" s="54">
        <f t="shared" si="2"/>
        <v>-13697</v>
      </c>
      <c r="L85" s="92"/>
      <c r="M85" s="93"/>
      <c r="N85" s="94"/>
      <c r="O85" s="92"/>
      <c r="P85" s="93"/>
      <c r="Q85" s="94"/>
      <c r="R85" s="92"/>
      <c r="S85" s="93"/>
      <c r="T85" s="94"/>
      <c r="U85" s="92"/>
      <c r="V85" s="93"/>
      <c r="W85" s="94"/>
      <c r="X85" s="92"/>
      <c r="Y85" s="93"/>
      <c r="Z85" s="94"/>
      <c r="AA85" s="92"/>
      <c r="AB85" s="93"/>
      <c r="AC85" s="94"/>
      <c r="AD85" s="92"/>
      <c r="AE85" s="93"/>
      <c r="AF85" s="94"/>
      <c r="AG85" s="92"/>
      <c r="AH85" s="93"/>
      <c r="AI85" s="94"/>
      <c r="AJ85" s="92"/>
      <c r="AK85" s="93"/>
      <c r="AL85" s="94"/>
      <c r="AM85" s="92"/>
      <c r="AN85" s="93"/>
      <c r="AO85" s="94"/>
      <c r="AP85" s="92"/>
      <c r="AQ85" s="93"/>
      <c r="AR85" s="94"/>
      <c r="AS85" s="92"/>
      <c r="AT85" s="93"/>
      <c r="AU85" s="94"/>
    </row>
    <row r="86" ht="36.75" customHeight="1">
      <c r="A86" s="87" t="s">
        <v>290</v>
      </c>
      <c r="B86" s="78" t="s">
        <v>291</v>
      </c>
      <c r="C86" s="88" t="str">
        <f t="shared" si="4"/>
        <v>#REF!</v>
      </c>
      <c r="D86" s="89" t="s">
        <v>292</v>
      </c>
      <c r="E86" s="51" t="str">
        <f t="shared" si="5"/>
        <v>#REF!</v>
      </c>
      <c r="F86" s="90">
        <v>1.0</v>
      </c>
      <c r="G86" s="51">
        <v>3000.0</v>
      </c>
      <c r="H86" s="51">
        <f>'PAINEL DE CONTROLE'!$D$5</f>
        <v>13697</v>
      </c>
      <c r="I86" s="51"/>
      <c r="J86" s="51"/>
      <c r="K86" s="54">
        <f t="shared" si="2"/>
        <v>-13697</v>
      </c>
      <c r="L86" s="60"/>
      <c r="M86" s="31"/>
      <c r="N86" s="61"/>
      <c r="O86" s="60"/>
      <c r="P86" s="31"/>
      <c r="Q86" s="61"/>
      <c r="R86" s="60"/>
      <c r="S86" s="31"/>
      <c r="T86" s="61"/>
      <c r="U86" s="60"/>
      <c r="V86" s="31"/>
      <c r="W86" s="61"/>
      <c r="X86" s="60"/>
      <c r="Y86" s="31"/>
      <c r="Z86" s="61"/>
      <c r="AA86" s="60"/>
      <c r="AB86" s="31"/>
      <c r="AC86" s="61"/>
      <c r="AD86" s="60"/>
      <c r="AE86" s="31"/>
      <c r="AF86" s="61"/>
      <c r="AG86" s="60"/>
      <c r="AH86" s="31"/>
      <c r="AI86" s="61"/>
      <c r="AJ86" s="60"/>
      <c r="AK86" s="31"/>
      <c r="AL86" s="61"/>
      <c r="AM86" s="60"/>
      <c r="AN86" s="31"/>
      <c r="AO86" s="61"/>
      <c r="AP86" s="60"/>
      <c r="AQ86" s="31"/>
      <c r="AR86" s="61"/>
      <c r="AS86" s="60"/>
      <c r="AT86" s="31"/>
      <c r="AU86" s="61"/>
    </row>
    <row r="87" ht="36.75" customHeight="1">
      <c r="A87" s="63"/>
      <c r="B87" s="78" t="s">
        <v>293</v>
      </c>
      <c r="C87" s="88" t="str">
        <f t="shared" si="4"/>
        <v>#REF!</v>
      </c>
      <c r="D87" s="89" t="s">
        <v>202</v>
      </c>
      <c r="E87" s="51" t="str">
        <f t="shared" si="5"/>
        <v>#REF!</v>
      </c>
      <c r="F87" s="90">
        <v>1.0</v>
      </c>
      <c r="G87" s="51">
        <v>6000.0</v>
      </c>
      <c r="H87" s="51">
        <f>'PAINEL DE CONTROLE'!$D$5</f>
        <v>13697</v>
      </c>
      <c r="I87" s="51"/>
      <c r="J87" s="51"/>
      <c r="K87" s="54">
        <f t="shared" si="2"/>
        <v>-13697</v>
      </c>
      <c r="L87" s="60"/>
      <c r="M87" s="31"/>
      <c r="N87" s="61"/>
      <c r="O87" s="60"/>
      <c r="P87" s="31"/>
      <c r="Q87" s="61"/>
      <c r="R87" s="60"/>
      <c r="S87" s="31"/>
      <c r="T87" s="61"/>
      <c r="U87" s="60"/>
      <c r="V87" s="31"/>
      <c r="W87" s="61"/>
      <c r="X87" s="60"/>
      <c r="Y87" s="31"/>
      <c r="Z87" s="61"/>
      <c r="AA87" s="60"/>
      <c r="AB87" s="31"/>
      <c r="AC87" s="61"/>
      <c r="AD87" s="60"/>
      <c r="AE87" s="31"/>
      <c r="AF87" s="61"/>
      <c r="AG87" s="60"/>
      <c r="AH87" s="31"/>
      <c r="AI87" s="61"/>
      <c r="AJ87" s="60"/>
      <c r="AK87" s="31"/>
      <c r="AL87" s="61"/>
      <c r="AM87" s="60"/>
      <c r="AN87" s="31"/>
      <c r="AO87" s="61"/>
      <c r="AP87" s="60"/>
      <c r="AQ87" s="31"/>
      <c r="AR87" s="61"/>
      <c r="AS87" s="60"/>
      <c r="AT87" s="31"/>
      <c r="AU87" s="61"/>
    </row>
    <row r="88" ht="36.75" customHeight="1">
      <c r="A88" s="72" t="s">
        <v>294</v>
      </c>
      <c r="B88" s="73" t="s">
        <v>295</v>
      </c>
      <c r="C88" s="75" t="str">
        <f t="shared" si="4"/>
        <v>#REF!</v>
      </c>
      <c r="D88" s="74" t="s">
        <v>224</v>
      </c>
      <c r="E88" s="57" t="str">
        <f t="shared" si="5"/>
        <v>#REF!</v>
      </c>
      <c r="F88" s="58">
        <v>1.0</v>
      </c>
      <c r="G88" s="57">
        <v>2000.0</v>
      </c>
      <c r="H88" s="57">
        <f>'PAINEL DE CONTROLE'!$D$5</f>
        <v>13697</v>
      </c>
      <c r="I88" s="57">
        <v>100800.0</v>
      </c>
      <c r="J88" s="57">
        <f t="shared" ref="J88:J89" si="12">SUM(I88+G88)</f>
        <v>102800</v>
      </c>
      <c r="K88" s="54">
        <f t="shared" si="2"/>
        <v>89103</v>
      </c>
      <c r="L88" s="92"/>
      <c r="M88" s="93"/>
      <c r="N88" s="94"/>
      <c r="O88" s="92"/>
      <c r="P88" s="93"/>
      <c r="Q88" s="94"/>
      <c r="R88" s="92"/>
      <c r="S88" s="93"/>
      <c r="T88" s="94"/>
      <c r="U88" s="92"/>
      <c r="V88" s="93"/>
      <c r="W88" s="94"/>
      <c r="X88" s="92"/>
      <c r="Y88" s="93"/>
      <c r="Z88" s="94"/>
      <c r="AA88" s="92"/>
      <c r="AB88" s="93"/>
      <c r="AC88" s="94"/>
      <c r="AD88" s="92"/>
      <c r="AE88" s="93"/>
      <c r="AF88" s="94"/>
      <c r="AG88" s="92"/>
      <c r="AH88" s="93"/>
      <c r="AI88" s="94"/>
      <c r="AJ88" s="92"/>
      <c r="AK88" s="93"/>
      <c r="AL88" s="94"/>
      <c r="AM88" s="92"/>
      <c r="AN88" s="93"/>
      <c r="AO88" s="94"/>
      <c r="AP88" s="92"/>
      <c r="AQ88" s="93"/>
      <c r="AR88" s="94"/>
      <c r="AS88" s="92"/>
      <c r="AT88" s="93"/>
      <c r="AU88" s="94"/>
    </row>
    <row r="89" ht="36.75" customHeight="1">
      <c r="A89" s="63"/>
      <c r="B89" s="73" t="s">
        <v>296</v>
      </c>
      <c r="C89" s="75" t="str">
        <f t="shared" si="4"/>
        <v>#REF!</v>
      </c>
      <c r="D89" s="74" t="s">
        <v>228</v>
      </c>
      <c r="E89" s="57" t="str">
        <f t="shared" si="5"/>
        <v>#REF!</v>
      </c>
      <c r="F89" s="58">
        <v>1.0</v>
      </c>
      <c r="G89" s="57">
        <v>3000.0</v>
      </c>
      <c r="H89" s="57">
        <f>'PAINEL DE CONTROLE'!$D$5</f>
        <v>13697</v>
      </c>
      <c r="I89" s="57"/>
      <c r="J89" s="57">
        <f t="shared" si="12"/>
        <v>3000</v>
      </c>
      <c r="K89" s="54">
        <f t="shared" si="2"/>
        <v>-10697</v>
      </c>
      <c r="L89" s="92"/>
      <c r="M89" s="93"/>
      <c r="N89" s="94"/>
      <c r="O89" s="92"/>
      <c r="P89" s="93"/>
      <c r="Q89" s="94"/>
      <c r="R89" s="92"/>
      <c r="S89" s="93"/>
      <c r="T89" s="94"/>
      <c r="U89" s="92"/>
      <c r="V89" s="93"/>
      <c r="W89" s="94"/>
      <c r="X89" s="92"/>
      <c r="Y89" s="93"/>
      <c r="Z89" s="94"/>
      <c r="AA89" s="92"/>
      <c r="AB89" s="93"/>
      <c r="AC89" s="94"/>
      <c r="AD89" s="92"/>
      <c r="AE89" s="93"/>
      <c r="AF89" s="94"/>
      <c r="AG89" s="92"/>
      <c r="AH89" s="93"/>
      <c r="AI89" s="94"/>
      <c r="AJ89" s="92"/>
      <c r="AK89" s="93"/>
      <c r="AL89" s="94"/>
      <c r="AM89" s="92"/>
      <c r="AN89" s="93"/>
      <c r="AO89" s="94"/>
      <c r="AP89" s="92"/>
      <c r="AQ89" s="93"/>
      <c r="AR89" s="94"/>
      <c r="AS89" s="92"/>
      <c r="AT89" s="93"/>
      <c r="AU89" s="94"/>
    </row>
    <row r="90" ht="36.75" customHeight="1">
      <c r="A90" s="87" t="s">
        <v>297</v>
      </c>
      <c r="B90" s="78" t="s">
        <v>298</v>
      </c>
      <c r="C90" s="88" t="str">
        <f t="shared" si="4"/>
        <v>#REF!</v>
      </c>
      <c r="D90" s="89" t="s">
        <v>299</v>
      </c>
      <c r="E90" s="51" t="str">
        <f t="shared" si="5"/>
        <v>#REF!</v>
      </c>
      <c r="F90" s="90">
        <v>1.0</v>
      </c>
      <c r="G90" s="51">
        <v>2000.0</v>
      </c>
      <c r="H90" s="51">
        <f>'PAINEL DE CONTROLE'!$D$5</f>
        <v>13697</v>
      </c>
      <c r="I90" s="51"/>
      <c r="J90" s="51"/>
      <c r="K90" s="54">
        <f t="shared" si="2"/>
        <v>-13697</v>
      </c>
      <c r="L90" s="60"/>
      <c r="M90" s="31"/>
      <c r="N90" s="61"/>
      <c r="O90" s="60"/>
      <c r="P90" s="31"/>
      <c r="Q90" s="61"/>
      <c r="R90" s="60"/>
      <c r="S90" s="31"/>
      <c r="T90" s="61"/>
      <c r="U90" s="60"/>
      <c r="V90" s="31"/>
      <c r="W90" s="61"/>
      <c r="X90" s="60"/>
      <c r="Y90" s="31"/>
      <c r="Z90" s="61"/>
      <c r="AA90" s="60"/>
      <c r="AB90" s="31"/>
      <c r="AC90" s="61"/>
      <c r="AD90" s="60"/>
      <c r="AE90" s="31"/>
      <c r="AF90" s="61"/>
      <c r="AG90" s="60"/>
      <c r="AH90" s="31"/>
      <c r="AI90" s="61"/>
      <c r="AJ90" s="60"/>
      <c r="AK90" s="31"/>
      <c r="AL90" s="61"/>
      <c r="AM90" s="60"/>
      <c r="AN90" s="31"/>
      <c r="AO90" s="61"/>
      <c r="AP90" s="60"/>
      <c r="AQ90" s="31"/>
      <c r="AR90" s="61"/>
      <c r="AS90" s="60"/>
      <c r="AT90" s="31"/>
      <c r="AU90" s="61"/>
    </row>
    <row r="91" ht="36.75" customHeight="1">
      <c r="A91" s="62"/>
      <c r="B91" s="95"/>
      <c r="C91" s="88" t="str">
        <f t="shared" si="4"/>
        <v>#REF!</v>
      </c>
      <c r="D91" s="89" t="s">
        <v>300</v>
      </c>
      <c r="E91" s="51" t="str">
        <f t="shared" si="5"/>
        <v>#REF!</v>
      </c>
      <c r="F91" s="90">
        <v>1.0</v>
      </c>
      <c r="G91" s="51" t="s">
        <v>113</v>
      </c>
      <c r="H91" s="51">
        <f>'PAINEL DE CONTROLE'!$D$5</f>
        <v>13697</v>
      </c>
      <c r="I91" s="51"/>
      <c r="J91" s="51"/>
      <c r="K91" s="54">
        <f t="shared" si="2"/>
        <v>-13697</v>
      </c>
      <c r="L91" s="60"/>
      <c r="M91" s="31"/>
      <c r="N91" s="61"/>
      <c r="O91" s="60"/>
      <c r="P91" s="31"/>
      <c r="Q91" s="61"/>
      <c r="R91" s="60"/>
      <c r="S91" s="31"/>
      <c r="T91" s="61"/>
      <c r="U91" s="60"/>
      <c r="V91" s="31"/>
      <c r="W91" s="61"/>
      <c r="X91" s="60"/>
      <c r="Y91" s="31"/>
      <c r="Z91" s="61"/>
      <c r="AA91" s="60"/>
      <c r="AB91" s="31"/>
      <c r="AC91" s="61"/>
      <c r="AD91" s="60"/>
      <c r="AE91" s="31"/>
      <c r="AF91" s="61"/>
      <c r="AG91" s="60"/>
      <c r="AH91" s="31"/>
      <c r="AI91" s="61"/>
      <c r="AJ91" s="60"/>
      <c r="AK91" s="31"/>
      <c r="AL91" s="61"/>
      <c r="AM91" s="60"/>
      <c r="AN91" s="31"/>
      <c r="AO91" s="61"/>
      <c r="AP91" s="60"/>
      <c r="AQ91" s="31"/>
      <c r="AR91" s="61"/>
      <c r="AS91" s="60"/>
      <c r="AT91" s="31"/>
      <c r="AU91" s="61"/>
    </row>
    <row r="92" ht="36.75" customHeight="1">
      <c r="A92" s="62"/>
      <c r="B92" s="95"/>
      <c r="C92" s="88" t="str">
        <f t="shared" si="4"/>
        <v>#REF!</v>
      </c>
      <c r="D92" s="89" t="s">
        <v>301</v>
      </c>
      <c r="E92" s="51" t="str">
        <f t="shared" si="5"/>
        <v>#REF!</v>
      </c>
      <c r="F92" s="90">
        <v>1.0</v>
      </c>
      <c r="G92" s="51" t="s">
        <v>113</v>
      </c>
      <c r="H92" s="51">
        <f>'PAINEL DE CONTROLE'!$D$5</f>
        <v>13697</v>
      </c>
      <c r="I92" s="51"/>
      <c r="J92" s="51"/>
      <c r="K92" s="54">
        <f t="shared" si="2"/>
        <v>-13697</v>
      </c>
      <c r="L92" s="60"/>
      <c r="M92" s="31"/>
      <c r="N92" s="61"/>
      <c r="O92" s="60"/>
      <c r="P92" s="31"/>
      <c r="Q92" s="61"/>
      <c r="R92" s="60"/>
      <c r="S92" s="31"/>
      <c r="T92" s="61"/>
      <c r="U92" s="60"/>
      <c r="V92" s="31"/>
      <c r="W92" s="61"/>
      <c r="X92" s="60"/>
      <c r="Y92" s="31"/>
      <c r="Z92" s="61"/>
      <c r="AA92" s="60"/>
      <c r="AB92" s="31"/>
      <c r="AC92" s="61"/>
      <c r="AD92" s="60"/>
      <c r="AE92" s="31"/>
      <c r="AF92" s="61"/>
      <c r="AG92" s="60"/>
      <c r="AH92" s="31"/>
      <c r="AI92" s="61"/>
      <c r="AJ92" s="60"/>
      <c r="AK92" s="31"/>
      <c r="AL92" s="61"/>
      <c r="AM92" s="60"/>
      <c r="AN92" s="31"/>
      <c r="AO92" s="61"/>
      <c r="AP92" s="60"/>
      <c r="AQ92" s="31"/>
      <c r="AR92" s="61"/>
      <c r="AS92" s="60"/>
      <c r="AT92" s="31"/>
      <c r="AU92" s="61"/>
    </row>
    <row r="93" ht="36.75" customHeight="1">
      <c r="A93" s="62"/>
      <c r="B93" s="78" t="s">
        <v>302</v>
      </c>
      <c r="C93" s="88" t="str">
        <f t="shared" si="4"/>
        <v>#REF!</v>
      </c>
      <c r="D93" s="89" t="s">
        <v>303</v>
      </c>
      <c r="E93" s="51" t="str">
        <f t="shared" si="5"/>
        <v>#REF!</v>
      </c>
      <c r="F93" s="90">
        <v>1.0</v>
      </c>
      <c r="G93" s="51">
        <v>6000.0</v>
      </c>
      <c r="H93" s="51">
        <f>'PAINEL DE CONTROLE'!$D$5</f>
        <v>13697</v>
      </c>
      <c r="I93" s="51"/>
      <c r="J93" s="51"/>
      <c r="K93" s="54">
        <f t="shared" si="2"/>
        <v>-13697</v>
      </c>
      <c r="L93" s="60"/>
      <c r="M93" s="31"/>
      <c r="N93" s="61"/>
      <c r="O93" s="60"/>
      <c r="P93" s="31"/>
      <c r="Q93" s="61"/>
      <c r="R93" s="60"/>
      <c r="S93" s="31"/>
      <c r="T93" s="61"/>
      <c r="U93" s="60"/>
      <c r="V93" s="31"/>
      <c r="W93" s="61"/>
      <c r="X93" s="60"/>
      <c r="Y93" s="31"/>
      <c r="Z93" s="61"/>
      <c r="AA93" s="60"/>
      <c r="AB93" s="31"/>
      <c r="AC93" s="61"/>
      <c r="AD93" s="60"/>
      <c r="AE93" s="31"/>
      <c r="AF93" s="61"/>
      <c r="AG93" s="60"/>
      <c r="AH93" s="31"/>
      <c r="AI93" s="61"/>
      <c r="AJ93" s="60"/>
      <c r="AK93" s="31"/>
      <c r="AL93" s="61"/>
      <c r="AM93" s="60"/>
      <c r="AN93" s="31"/>
      <c r="AO93" s="61"/>
      <c r="AP93" s="60"/>
      <c r="AQ93" s="31"/>
      <c r="AR93" s="61"/>
      <c r="AS93" s="60"/>
      <c r="AT93" s="31"/>
      <c r="AU93" s="61"/>
    </row>
    <row r="94" ht="36.75" customHeight="1">
      <c r="A94" s="62"/>
      <c r="B94" s="95"/>
      <c r="C94" s="88" t="str">
        <f t="shared" si="4"/>
        <v>#REF!</v>
      </c>
      <c r="D94" s="89" t="s">
        <v>304</v>
      </c>
      <c r="E94" s="51" t="str">
        <f t="shared" si="5"/>
        <v>#REF!</v>
      </c>
      <c r="F94" s="90">
        <v>1.0</v>
      </c>
      <c r="G94" s="51" t="s">
        <v>113</v>
      </c>
      <c r="H94" s="51">
        <f>'PAINEL DE CONTROLE'!$D$5</f>
        <v>13697</v>
      </c>
      <c r="I94" s="51"/>
      <c r="J94" s="51"/>
      <c r="K94" s="54">
        <f t="shared" si="2"/>
        <v>-13697</v>
      </c>
      <c r="L94" s="60"/>
      <c r="M94" s="31"/>
      <c r="N94" s="61"/>
      <c r="O94" s="60"/>
      <c r="P94" s="31"/>
      <c r="Q94" s="61"/>
      <c r="R94" s="60"/>
      <c r="S94" s="31"/>
      <c r="T94" s="61"/>
      <c r="U94" s="60"/>
      <c r="V94" s="31"/>
      <c r="W94" s="61"/>
      <c r="X94" s="60"/>
      <c r="Y94" s="31"/>
      <c r="Z94" s="61"/>
      <c r="AA94" s="60"/>
      <c r="AB94" s="31"/>
      <c r="AC94" s="61"/>
      <c r="AD94" s="60"/>
      <c r="AE94" s="31"/>
      <c r="AF94" s="61"/>
      <c r="AG94" s="60"/>
      <c r="AH94" s="31"/>
      <c r="AI94" s="61"/>
      <c r="AJ94" s="60"/>
      <c r="AK94" s="31"/>
      <c r="AL94" s="61"/>
      <c r="AM94" s="60"/>
      <c r="AN94" s="31"/>
      <c r="AO94" s="61"/>
      <c r="AP94" s="60"/>
      <c r="AQ94" s="31"/>
      <c r="AR94" s="61"/>
      <c r="AS94" s="60"/>
      <c r="AT94" s="31"/>
      <c r="AU94" s="61"/>
    </row>
    <row r="95" ht="36.75" customHeight="1">
      <c r="A95" s="62"/>
      <c r="B95" s="95"/>
      <c r="C95" s="88" t="str">
        <f t="shared" si="4"/>
        <v>#REF!</v>
      </c>
      <c r="D95" s="89" t="s">
        <v>305</v>
      </c>
      <c r="E95" s="51" t="str">
        <f t="shared" si="5"/>
        <v>#REF!</v>
      </c>
      <c r="F95" s="90">
        <v>1.0</v>
      </c>
      <c r="G95" s="51" t="s">
        <v>113</v>
      </c>
      <c r="H95" s="51">
        <f>'PAINEL DE CONTROLE'!$D$5</f>
        <v>13697</v>
      </c>
      <c r="I95" s="51"/>
      <c r="J95" s="51"/>
      <c r="K95" s="54">
        <f t="shared" si="2"/>
        <v>-13697</v>
      </c>
      <c r="L95" s="60"/>
      <c r="M95" s="31"/>
      <c r="N95" s="61"/>
      <c r="O95" s="60"/>
      <c r="P95" s="31"/>
      <c r="Q95" s="61"/>
      <c r="R95" s="60"/>
      <c r="S95" s="31"/>
      <c r="T95" s="61"/>
      <c r="U95" s="60"/>
      <c r="V95" s="31"/>
      <c r="W95" s="61"/>
      <c r="X95" s="60"/>
      <c r="Y95" s="31"/>
      <c r="Z95" s="61"/>
      <c r="AA95" s="60"/>
      <c r="AB95" s="31"/>
      <c r="AC95" s="61"/>
      <c r="AD95" s="60"/>
      <c r="AE95" s="31"/>
      <c r="AF95" s="61"/>
      <c r="AG95" s="60"/>
      <c r="AH95" s="31"/>
      <c r="AI95" s="61"/>
      <c r="AJ95" s="60"/>
      <c r="AK95" s="31"/>
      <c r="AL95" s="61"/>
      <c r="AM95" s="60"/>
      <c r="AN95" s="31"/>
      <c r="AO95" s="61"/>
      <c r="AP95" s="60"/>
      <c r="AQ95" s="31"/>
      <c r="AR95" s="61"/>
      <c r="AS95" s="60"/>
      <c r="AT95" s="31"/>
      <c r="AU95" s="61"/>
    </row>
    <row r="96" ht="36.75" customHeight="1">
      <c r="A96" s="102" t="s">
        <v>306</v>
      </c>
      <c r="B96" s="95"/>
      <c r="C96" s="75" t="str">
        <f t="shared" si="4"/>
        <v>#REF!</v>
      </c>
      <c r="D96" s="74" t="s">
        <v>301</v>
      </c>
      <c r="E96" s="57" t="str">
        <f t="shared" si="5"/>
        <v>#REF!</v>
      </c>
      <c r="F96" s="58">
        <v>1.0</v>
      </c>
      <c r="G96" s="57" t="s">
        <v>113</v>
      </c>
      <c r="H96" s="57">
        <f>'PAINEL DE CONTROLE'!$D$5</f>
        <v>13697</v>
      </c>
      <c r="I96" s="57"/>
      <c r="J96" s="57"/>
      <c r="K96" s="54">
        <f t="shared" si="2"/>
        <v>-13697</v>
      </c>
      <c r="L96" s="92"/>
      <c r="M96" s="93"/>
      <c r="N96" s="94"/>
      <c r="O96" s="92"/>
      <c r="P96" s="93"/>
      <c r="Q96" s="94"/>
      <c r="R96" s="92"/>
      <c r="S96" s="93"/>
      <c r="T96" s="94"/>
      <c r="U96" s="92"/>
      <c r="V96" s="93"/>
      <c r="W96" s="94"/>
      <c r="X96" s="92"/>
      <c r="Y96" s="93"/>
      <c r="Z96" s="94"/>
      <c r="AA96" s="92"/>
      <c r="AB96" s="93"/>
      <c r="AC96" s="94"/>
      <c r="AD96" s="92"/>
      <c r="AE96" s="93"/>
      <c r="AF96" s="94"/>
      <c r="AG96" s="92"/>
      <c r="AH96" s="93"/>
      <c r="AI96" s="94"/>
      <c r="AJ96" s="92"/>
      <c r="AK96" s="93"/>
      <c r="AL96" s="94"/>
      <c r="AM96" s="92"/>
      <c r="AN96" s="93"/>
      <c r="AO96" s="94"/>
      <c r="AP96" s="92"/>
      <c r="AQ96" s="93"/>
      <c r="AR96" s="94"/>
      <c r="AS96" s="92"/>
      <c r="AT96" s="93"/>
      <c r="AU96" s="94"/>
    </row>
    <row r="97" ht="36.75" customHeight="1">
      <c r="A97" s="62"/>
      <c r="B97" s="73" t="s">
        <v>307</v>
      </c>
      <c r="C97" s="75" t="str">
        <f t="shared" si="4"/>
        <v>#REF!</v>
      </c>
      <c r="D97" s="74" t="s">
        <v>308</v>
      </c>
      <c r="E97" s="57" t="str">
        <f t="shared" si="5"/>
        <v>#REF!</v>
      </c>
      <c r="F97" s="58">
        <v>1.0</v>
      </c>
      <c r="G97" s="57">
        <v>6000.0</v>
      </c>
      <c r="H97" s="57">
        <f>'PAINEL DE CONTROLE'!$D$5</f>
        <v>13697</v>
      </c>
      <c r="I97" s="57"/>
      <c r="J97" s="57"/>
      <c r="K97" s="54">
        <f t="shared" si="2"/>
        <v>-13697</v>
      </c>
      <c r="L97" s="92"/>
      <c r="M97" s="93"/>
      <c r="N97" s="94"/>
      <c r="O97" s="92"/>
      <c r="P97" s="93"/>
      <c r="Q97" s="94"/>
      <c r="R97" s="92"/>
      <c r="S97" s="93"/>
      <c r="T97" s="94"/>
      <c r="U97" s="92"/>
      <c r="V97" s="93"/>
      <c r="W97" s="94"/>
      <c r="X97" s="92"/>
      <c r="Y97" s="93"/>
      <c r="Z97" s="94"/>
      <c r="AA97" s="92"/>
      <c r="AB97" s="93"/>
      <c r="AC97" s="94"/>
      <c r="AD97" s="92"/>
      <c r="AE97" s="93"/>
      <c r="AF97" s="94"/>
      <c r="AG97" s="92"/>
      <c r="AH97" s="93"/>
      <c r="AI97" s="94"/>
      <c r="AJ97" s="92"/>
      <c r="AK97" s="93"/>
      <c r="AL97" s="94"/>
      <c r="AM97" s="92"/>
      <c r="AN97" s="93"/>
      <c r="AO97" s="94"/>
      <c r="AP97" s="92"/>
      <c r="AQ97" s="93"/>
      <c r="AR97" s="94"/>
      <c r="AS97" s="92"/>
      <c r="AT97" s="93"/>
      <c r="AU97" s="94"/>
    </row>
    <row r="98" ht="36.75" customHeight="1">
      <c r="A98" s="62"/>
      <c r="B98" s="73" t="s">
        <v>309</v>
      </c>
      <c r="C98" s="75" t="str">
        <f t="shared" si="4"/>
        <v>#REF!</v>
      </c>
      <c r="D98" s="74" t="s">
        <v>310</v>
      </c>
      <c r="E98" s="57" t="str">
        <f t="shared" si="5"/>
        <v>#REF!</v>
      </c>
      <c r="F98" s="58">
        <v>1.0</v>
      </c>
      <c r="G98" s="57">
        <v>2000.0</v>
      </c>
      <c r="H98" s="57">
        <f>'PAINEL DE CONTROLE'!$D$5</f>
        <v>13697</v>
      </c>
      <c r="I98" s="57"/>
      <c r="J98" s="57"/>
      <c r="K98" s="54">
        <f t="shared" si="2"/>
        <v>-13697</v>
      </c>
      <c r="L98" s="92"/>
      <c r="M98" s="93"/>
      <c r="N98" s="94"/>
      <c r="O98" s="92"/>
      <c r="P98" s="93"/>
      <c r="Q98" s="94"/>
      <c r="R98" s="92"/>
      <c r="S98" s="93"/>
      <c r="T98" s="94"/>
      <c r="U98" s="92"/>
      <c r="V98" s="93"/>
      <c r="W98" s="94"/>
      <c r="X98" s="92"/>
      <c r="Y98" s="93"/>
      <c r="Z98" s="94"/>
      <c r="AA98" s="92"/>
      <c r="AB98" s="93"/>
      <c r="AC98" s="94"/>
      <c r="AD98" s="92"/>
      <c r="AE98" s="93"/>
      <c r="AF98" s="94"/>
      <c r="AG98" s="92"/>
      <c r="AH98" s="93"/>
      <c r="AI98" s="94"/>
      <c r="AJ98" s="92"/>
      <c r="AK98" s="93"/>
      <c r="AL98" s="94"/>
      <c r="AM98" s="92"/>
      <c r="AN98" s="93"/>
      <c r="AO98" s="94"/>
      <c r="AP98" s="92"/>
      <c r="AQ98" s="93"/>
      <c r="AR98" s="94"/>
      <c r="AS98" s="92"/>
      <c r="AT98" s="93"/>
      <c r="AU98" s="94"/>
    </row>
    <row r="99" ht="36.75" customHeight="1">
      <c r="A99" s="62"/>
      <c r="B99" s="95"/>
      <c r="C99" s="75" t="str">
        <f t="shared" si="4"/>
        <v>#REF!</v>
      </c>
      <c r="D99" s="74" t="s">
        <v>311</v>
      </c>
      <c r="E99" s="57" t="str">
        <f t="shared" si="5"/>
        <v>#REF!</v>
      </c>
      <c r="F99" s="58">
        <v>1.0</v>
      </c>
      <c r="G99" s="57" t="s">
        <v>113</v>
      </c>
      <c r="H99" s="57">
        <f>'PAINEL DE CONTROLE'!$D$5</f>
        <v>13697</v>
      </c>
      <c r="I99" s="57"/>
      <c r="J99" s="57"/>
      <c r="K99" s="54">
        <f t="shared" si="2"/>
        <v>-13697</v>
      </c>
      <c r="L99" s="92"/>
      <c r="M99" s="93"/>
      <c r="N99" s="94"/>
      <c r="O99" s="92"/>
      <c r="P99" s="93"/>
      <c r="Q99" s="94"/>
      <c r="R99" s="92"/>
      <c r="S99" s="93"/>
      <c r="T99" s="94"/>
      <c r="U99" s="92"/>
      <c r="V99" s="93"/>
      <c r="W99" s="94"/>
      <c r="X99" s="92"/>
      <c r="Y99" s="93"/>
      <c r="Z99" s="94"/>
      <c r="AA99" s="92"/>
      <c r="AB99" s="93"/>
      <c r="AC99" s="94"/>
      <c r="AD99" s="92"/>
      <c r="AE99" s="93"/>
      <c r="AF99" s="94"/>
      <c r="AG99" s="92"/>
      <c r="AH99" s="93"/>
      <c r="AI99" s="94"/>
      <c r="AJ99" s="92"/>
      <c r="AK99" s="93"/>
      <c r="AL99" s="94"/>
      <c r="AM99" s="92"/>
      <c r="AN99" s="93"/>
      <c r="AO99" s="94"/>
      <c r="AP99" s="92"/>
      <c r="AQ99" s="93"/>
      <c r="AR99" s="94"/>
      <c r="AS99" s="92"/>
      <c r="AT99" s="93"/>
      <c r="AU99" s="94"/>
    </row>
    <row r="100" ht="36.75" customHeight="1">
      <c r="A100" s="62"/>
      <c r="B100" s="95"/>
      <c r="C100" s="75" t="str">
        <f t="shared" si="4"/>
        <v>#REF!</v>
      </c>
      <c r="D100" s="74" t="s">
        <v>312</v>
      </c>
      <c r="E100" s="57" t="str">
        <f t="shared" si="5"/>
        <v>#REF!</v>
      </c>
      <c r="F100" s="58">
        <v>1.0</v>
      </c>
      <c r="G100" s="57" t="s">
        <v>113</v>
      </c>
      <c r="H100" s="57">
        <f>'PAINEL DE CONTROLE'!$D$5</f>
        <v>13697</v>
      </c>
      <c r="I100" s="57"/>
      <c r="J100" s="57"/>
      <c r="K100" s="54">
        <f t="shared" si="2"/>
        <v>-13697</v>
      </c>
      <c r="L100" s="92"/>
      <c r="M100" s="93"/>
      <c r="N100" s="94"/>
      <c r="O100" s="92"/>
      <c r="P100" s="93"/>
      <c r="Q100" s="94"/>
      <c r="R100" s="92"/>
      <c r="S100" s="93"/>
      <c r="T100" s="94"/>
      <c r="U100" s="92"/>
      <c r="V100" s="93"/>
      <c r="W100" s="94"/>
      <c r="X100" s="92"/>
      <c r="Y100" s="93"/>
      <c r="Z100" s="94"/>
      <c r="AA100" s="92"/>
      <c r="AB100" s="93"/>
      <c r="AC100" s="94"/>
      <c r="AD100" s="92"/>
      <c r="AE100" s="93"/>
      <c r="AF100" s="94"/>
      <c r="AG100" s="92"/>
      <c r="AH100" s="93"/>
      <c r="AI100" s="94"/>
      <c r="AJ100" s="92"/>
      <c r="AK100" s="93"/>
      <c r="AL100" s="94"/>
      <c r="AM100" s="92"/>
      <c r="AN100" s="93"/>
      <c r="AO100" s="94"/>
      <c r="AP100" s="92"/>
      <c r="AQ100" s="93"/>
      <c r="AR100" s="94"/>
      <c r="AS100" s="92"/>
      <c r="AT100" s="93"/>
      <c r="AU100" s="94"/>
    </row>
    <row r="101" ht="36.75" customHeight="1">
      <c r="A101" s="96"/>
      <c r="B101" s="95"/>
      <c r="C101" s="75" t="str">
        <f t="shared" si="4"/>
        <v>#REF!</v>
      </c>
      <c r="D101" s="74" t="s">
        <v>313</v>
      </c>
      <c r="E101" s="57" t="str">
        <f t="shared" si="5"/>
        <v>#REF!</v>
      </c>
      <c r="F101" s="58">
        <v>1.0</v>
      </c>
      <c r="G101" s="57" t="s">
        <v>113</v>
      </c>
      <c r="H101" s="57">
        <f>'PAINEL DE CONTROLE'!$D$5</f>
        <v>13697</v>
      </c>
      <c r="I101" s="57"/>
      <c r="J101" s="57"/>
      <c r="K101" s="54">
        <f t="shared" si="2"/>
        <v>-13697</v>
      </c>
      <c r="L101" s="92"/>
      <c r="M101" s="93"/>
      <c r="N101" s="94"/>
      <c r="O101" s="92"/>
      <c r="P101" s="93"/>
      <c r="Q101" s="94"/>
      <c r="R101" s="92"/>
      <c r="S101" s="93"/>
      <c r="T101" s="94"/>
      <c r="U101" s="92"/>
      <c r="V101" s="93"/>
      <c r="W101" s="94"/>
      <c r="X101" s="92"/>
      <c r="Y101" s="93"/>
      <c r="Z101" s="94"/>
      <c r="AA101" s="92"/>
      <c r="AB101" s="93"/>
      <c r="AC101" s="94"/>
      <c r="AD101" s="92"/>
      <c r="AE101" s="93"/>
      <c r="AF101" s="94"/>
      <c r="AG101" s="92"/>
      <c r="AH101" s="93"/>
      <c r="AI101" s="94"/>
      <c r="AJ101" s="92"/>
      <c r="AK101" s="93"/>
      <c r="AL101" s="94"/>
      <c r="AM101" s="92"/>
      <c r="AN101" s="93"/>
      <c r="AO101" s="94"/>
      <c r="AP101" s="92"/>
      <c r="AQ101" s="93"/>
      <c r="AR101" s="94"/>
      <c r="AS101" s="92"/>
      <c r="AT101" s="93"/>
      <c r="AU101" s="94"/>
    </row>
    <row r="102" ht="36.75" customHeight="1">
      <c r="A102" s="87" t="s">
        <v>314</v>
      </c>
      <c r="B102" s="78" t="s">
        <v>315</v>
      </c>
      <c r="C102" s="88" t="str">
        <f t="shared" si="4"/>
        <v>#REF!</v>
      </c>
      <c r="D102" s="89" t="s">
        <v>200</v>
      </c>
      <c r="E102" s="51" t="str">
        <f t="shared" si="5"/>
        <v>#REF!</v>
      </c>
      <c r="F102" s="90">
        <v>1.0</v>
      </c>
      <c r="G102" s="51">
        <v>3000.0</v>
      </c>
      <c r="H102" s="51">
        <f>'PAINEL DE CONTROLE'!$D$5</f>
        <v>13697</v>
      </c>
      <c r="I102" s="51"/>
      <c r="J102" s="51"/>
      <c r="K102" s="54">
        <f t="shared" si="2"/>
        <v>-13697</v>
      </c>
      <c r="L102" s="60"/>
      <c r="M102" s="31"/>
      <c r="N102" s="61"/>
      <c r="O102" s="60"/>
      <c r="P102" s="31"/>
      <c r="Q102" s="61"/>
      <c r="R102" s="60"/>
      <c r="S102" s="31"/>
      <c r="T102" s="61"/>
      <c r="U102" s="60"/>
      <c r="V102" s="31"/>
      <c r="W102" s="61"/>
      <c r="X102" s="60"/>
      <c r="Y102" s="31"/>
      <c r="Z102" s="61"/>
      <c r="AA102" s="60"/>
      <c r="AB102" s="31"/>
      <c r="AC102" s="61"/>
      <c r="AD102" s="60"/>
      <c r="AE102" s="31"/>
      <c r="AF102" s="61"/>
      <c r="AG102" s="60"/>
      <c r="AH102" s="31"/>
      <c r="AI102" s="61"/>
      <c r="AJ102" s="60"/>
      <c r="AK102" s="31"/>
      <c r="AL102" s="61"/>
      <c r="AM102" s="60"/>
      <c r="AN102" s="31"/>
      <c r="AO102" s="61"/>
      <c r="AP102" s="60"/>
      <c r="AQ102" s="31"/>
      <c r="AR102" s="61"/>
      <c r="AS102" s="60"/>
      <c r="AT102" s="31"/>
      <c r="AU102" s="61"/>
    </row>
    <row r="103" ht="36.75" customHeight="1">
      <c r="A103" s="63"/>
      <c r="B103" s="78" t="s">
        <v>316</v>
      </c>
      <c r="C103" s="88" t="str">
        <f t="shared" si="4"/>
        <v>#REF!</v>
      </c>
      <c r="D103" s="89" t="s">
        <v>202</v>
      </c>
      <c r="E103" s="51" t="str">
        <f t="shared" si="5"/>
        <v>#REF!</v>
      </c>
      <c r="F103" s="90">
        <v>1.0</v>
      </c>
      <c r="G103" s="51">
        <v>6000.0</v>
      </c>
      <c r="H103" s="51">
        <f>'PAINEL DE CONTROLE'!$D$5</f>
        <v>13697</v>
      </c>
      <c r="I103" s="51"/>
      <c r="J103" s="51"/>
      <c r="K103" s="54">
        <f t="shared" si="2"/>
        <v>-13697</v>
      </c>
      <c r="L103" s="60"/>
      <c r="M103" s="31"/>
      <c r="N103" s="61"/>
      <c r="O103" s="60"/>
      <c r="P103" s="31"/>
      <c r="Q103" s="61"/>
      <c r="R103" s="60"/>
      <c r="S103" s="31"/>
      <c r="T103" s="61"/>
      <c r="U103" s="60"/>
      <c r="V103" s="31"/>
      <c r="W103" s="61"/>
      <c r="X103" s="60"/>
      <c r="Y103" s="31"/>
      <c r="Z103" s="61"/>
      <c r="AA103" s="60"/>
      <c r="AB103" s="31"/>
      <c r="AC103" s="61"/>
      <c r="AD103" s="60"/>
      <c r="AE103" s="31"/>
      <c r="AF103" s="61"/>
      <c r="AG103" s="60"/>
      <c r="AH103" s="31"/>
      <c r="AI103" s="61"/>
      <c r="AJ103" s="60"/>
      <c r="AK103" s="31"/>
      <c r="AL103" s="61"/>
      <c r="AM103" s="60"/>
      <c r="AN103" s="31"/>
      <c r="AO103" s="61"/>
      <c r="AP103" s="60"/>
      <c r="AQ103" s="31"/>
      <c r="AR103" s="61"/>
      <c r="AS103" s="60"/>
      <c r="AT103" s="31"/>
      <c r="AU103" s="61"/>
    </row>
    <row r="104" ht="15.75" customHeight="1">
      <c r="A104" s="103" t="s">
        <v>317</v>
      </c>
      <c r="B104" s="95"/>
      <c r="C104" s="75" t="str">
        <f t="shared" si="4"/>
        <v>#REF!</v>
      </c>
      <c r="D104" s="74" t="s">
        <v>318</v>
      </c>
      <c r="E104" s="57" t="str">
        <f t="shared" si="5"/>
        <v>#REF!</v>
      </c>
      <c r="F104" s="58">
        <v>1.0</v>
      </c>
      <c r="G104" s="57" t="s">
        <v>113</v>
      </c>
      <c r="H104" s="57">
        <f>'PAINEL DE CONTROLE'!$D$5</f>
        <v>13697</v>
      </c>
      <c r="I104" s="57"/>
      <c r="J104" s="57"/>
      <c r="K104" s="54">
        <f t="shared" si="2"/>
        <v>-13697</v>
      </c>
      <c r="L104" s="92"/>
      <c r="M104" s="93"/>
      <c r="N104" s="94"/>
      <c r="O104" s="92"/>
      <c r="P104" s="93"/>
      <c r="Q104" s="94"/>
      <c r="R104" s="92"/>
      <c r="S104" s="93"/>
      <c r="T104" s="94"/>
      <c r="U104" s="92"/>
      <c r="V104" s="93"/>
      <c r="W104" s="94"/>
      <c r="X104" s="92"/>
      <c r="Y104" s="93"/>
      <c r="Z104" s="94"/>
      <c r="AA104" s="92"/>
      <c r="AB104" s="93"/>
      <c r="AC104" s="94"/>
      <c r="AD104" s="92"/>
      <c r="AE104" s="93"/>
      <c r="AF104" s="94"/>
      <c r="AG104" s="92"/>
      <c r="AH104" s="93"/>
      <c r="AI104" s="94"/>
      <c r="AJ104" s="92"/>
      <c r="AK104" s="93"/>
      <c r="AL104" s="94"/>
      <c r="AM104" s="92"/>
      <c r="AN104" s="93"/>
      <c r="AO104" s="94"/>
      <c r="AP104" s="92"/>
      <c r="AQ104" s="93"/>
      <c r="AR104" s="94"/>
      <c r="AS104" s="92"/>
      <c r="AT104" s="93"/>
      <c r="AU104" s="94"/>
    </row>
    <row r="105" ht="44.25" customHeight="1">
      <c r="A105" s="87" t="s">
        <v>319</v>
      </c>
      <c r="B105" s="104" t="s">
        <v>320</v>
      </c>
      <c r="C105" s="88" t="str">
        <f t="shared" si="4"/>
        <v>#REF!</v>
      </c>
      <c r="D105" s="89" t="s">
        <v>321</v>
      </c>
      <c r="E105" s="51" t="str">
        <f t="shared" si="5"/>
        <v>#REF!</v>
      </c>
      <c r="F105" s="90">
        <v>1.0</v>
      </c>
      <c r="G105" s="51">
        <v>1000.0</v>
      </c>
      <c r="H105" s="51">
        <f>'PAINEL DE CONTROLE'!$D$5</f>
        <v>13697</v>
      </c>
      <c r="I105" s="51">
        <v>100800.0</v>
      </c>
      <c r="J105" s="51">
        <f t="shared" ref="J105:J112" si="13">SUM(I105+G105)</f>
        <v>101800</v>
      </c>
      <c r="K105" s="54">
        <f t="shared" si="2"/>
        <v>88103</v>
      </c>
      <c r="L105" s="60"/>
      <c r="M105" s="31"/>
      <c r="N105" s="61"/>
      <c r="O105" s="60"/>
      <c r="P105" s="31"/>
      <c r="Q105" s="61"/>
      <c r="R105" s="60"/>
      <c r="S105" s="31"/>
      <c r="T105" s="61"/>
      <c r="U105" s="60"/>
      <c r="V105" s="31"/>
      <c r="W105" s="61"/>
      <c r="X105" s="60"/>
      <c r="Y105" s="31"/>
      <c r="Z105" s="61"/>
      <c r="AA105" s="60"/>
      <c r="AB105" s="31"/>
      <c r="AC105" s="61"/>
      <c r="AD105" s="60"/>
      <c r="AE105" s="31"/>
      <c r="AF105" s="61"/>
      <c r="AG105" s="60"/>
      <c r="AH105" s="31"/>
      <c r="AI105" s="61"/>
      <c r="AJ105" s="60"/>
      <c r="AK105" s="31"/>
      <c r="AL105" s="61"/>
      <c r="AM105" s="60"/>
      <c r="AN105" s="31"/>
      <c r="AO105" s="61"/>
      <c r="AP105" s="60"/>
      <c r="AQ105" s="31"/>
      <c r="AR105" s="61"/>
      <c r="AS105" s="60"/>
      <c r="AT105" s="31"/>
      <c r="AU105" s="61"/>
    </row>
    <row r="106" ht="44.25" customHeight="1">
      <c r="A106" s="63"/>
      <c r="B106" s="63"/>
      <c r="C106" s="88" t="str">
        <f t="shared" si="4"/>
        <v>#REF!</v>
      </c>
      <c r="D106" s="89" t="s">
        <v>322</v>
      </c>
      <c r="E106" s="51" t="str">
        <f t="shared" si="5"/>
        <v>#REF!</v>
      </c>
      <c r="F106" s="90">
        <v>1.0</v>
      </c>
      <c r="G106" s="51">
        <v>1000.0</v>
      </c>
      <c r="H106" s="51">
        <f>'PAINEL DE CONTROLE'!$D$5</f>
        <v>13697</v>
      </c>
      <c r="I106" s="51">
        <v>100800.0</v>
      </c>
      <c r="J106" s="51">
        <f t="shared" si="13"/>
        <v>101800</v>
      </c>
      <c r="K106" s="54">
        <f t="shared" si="2"/>
        <v>88103</v>
      </c>
      <c r="L106" s="60"/>
      <c r="M106" s="31"/>
      <c r="N106" s="61"/>
      <c r="O106" s="60"/>
      <c r="P106" s="31"/>
      <c r="Q106" s="61"/>
      <c r="R106" s="60"/>
      <c r="S106" s="31"/>
      <c r="T106" s="61"/>
      <c r="U106" s="60"/>
      <c r="V106" s="31"/>
      <c r="W106" s="61"/>
      <c r="X106" s="60"/>
      <c r="Y106" s="31"/>
      <c r="Z106" s="61"/>
      <c r="AA106" s="60"/>
      <c r="AB106" s="31"/>
      <c r="AC106" s="61"/>
      <c r="AD106" s="60"/>
      <c r="AE106" s="31"/>
      <c r="AF106" s="61"/>
      <c r="AG106" s="60"/>
      <c r="AH106" s="31"/>
      <c r="AI106" s="61"/>
      <c r="AJ106" s="60"/>
      <c r="AK106" s="31"/>
      <c r="AL106" s="61"/>
      <c r="AM106" s="60"/>
      <c r="AN106" s="31"/>
      <c r="AO106" s="61"/>
      <c r="AP106" s="60"/>
      <c r="AQ106" s="31"/>
      <c r="AR106" s="61"/>
      <c r="AS106" s="60"/>
      <c r="AT106" s="31"/>
      <c r="AU106" s="61"/>
    </row>
    <row r="107" ht="36.75" customHeight="1">
      <c r="A107" s="72" t="s">
        <v>323</v>
      </c>
      <c r="B107" s="73" t="s">
        <v>324</v>
      </c>
      <c r="C107" s="75" t="str">
        <f t="shared" si="4"/>
        <v>#REF!</v>
      </c>
      <c r="D107" s="74" t="s">
        <v>205</v>
      </c>
      <c r="E107" s="57" t="str">
        <f t="shared" si="5"/>
        <v>#REF!</v>
      </c>
      <c r="F107" s="58">
        <v>1.0</v>
      </c>
      <c r="G107" s="57">
        <v>6000.0</v>
      </c>
      <c r="H107" s="57">
        <f>'PAINEL DE CONTROLE'!$D$5</f>
        <v>13697</v>
      </c>
      <c r="I107" s="57"/>
      <c r="J107" s="57">
        <f t="shared" si="13"/>
        <v>6000</v>
      </c>
      <c r="K107" s="54">
        <f t="shared" si="2"/>
        <v>-7697</v>
      </c>
      <c r="L107" s="60"/>
      <c r="M107" s="31"/>
      <c r="N107" s="61"/>
      <c r="O107" s="60"/>
      <c r="P107" s="31"/>
      <c r="Q107" s="61"/>
      <c r="R107" s="60"/>
      <c r="S107" s="31"/>
      <c r="T107" s="61"/>
      <c r="U107" s="60"/>
      <c r="V107" s="31"/>
      <c r="W107" s="61"/>
      <c r="X107" s="60"/>
      <c r="Y107" s="31"/>
      <c r="Z107" s="61"/>
      <c r="AA107" s="60"/>
      <c r="AB107" s="31"/>
      <c r="AC107" s="61"/>
      <c r="AD107" s="60"/>
      <c r="AE107" s="31"/>
      <c r="AF107" s="61"/>
      <c r="AG107" s="60"/>
      <c r="AH107" s="31"/>
      <c r="AI107" s="61"/>
      <c r="AJ107" s="60"/>
      <c r="AK107" s="31"/>
      <c r="AL107" s="61"/>
      <c r="AM107" s="60"/>
      <c r="AN107" s="31"/>
      <c r="AO107" s="61"/>
      <c r="AP107" s="60"/>
      <c r="AQ107" s="31"/>
      <c r="AR107" s="61"/>
      <c r="AS107" s="60"/>
      <c r="AT107" s="31"/>
      <c r="AU107" s="61"/>
    </row>
    <row r="108" ht="36.75" customHeight="1">
      <c r="A108" s="63"/>
      <c r="B108" s="73" t="s">
        <v>325</v>
      </c>
      <c r="C108" s="75" t="str">
        <f t="shared" si="4"/>
        <v>#REF!</v>
      </c>
      <c r="D108" s="74" t="s">
        <v>224</v>
      </c>
      <c r="E108" s="57" t="str">
        <f t="shared" si="5"/>
        <v>#REF!</v>
      </c>
      <c r="F108" s="58">
        <v>1.0</v>
      </c>
      <c r="G108" s="57">
        <v>2000.0</v>
      </c>
      <c r="H108" s="57">
        <f>'PAINEL DE CONTROLE'!$D$5</f>
        <v>13697</v>
      </c>
      <c r="I108" s="57">
        <v>100800.0</v>
      </c>
      <c r="J108" s="57">
        <f t="shared" si="13"/>
        <v>102800</v>
      </c>
      <c r="K108" s="54">
        <f t="shared" si="2"/>
        <v>89103</v>
      </c>
      <c r="L108" s="60"/>
      <c r="M108" s="31"/>
      <c r="N108" s="61"/>
      <c r="O108" s="60"/>
      <c r="P108" s="31"/>
      <c r="Q108" s="61"/>
      <c r="R108" s="60"/>
      <c r="S108" s="31"/>
      <c r="T108" s="61"/>
      <c r="U108" s="60"/>
      <c r="V108" s="31"/>
      <c r="W108" s="61"/>
      <c r="X108" s="60"/>
      <c r="Y108" s="31"/>
      <c r="Z108" s="61"/>
      <c r="AA108" s="60"/>
      <c r="AB108" s="31"/>
      <c r="AC108" s="61"/>
      <c r="AD108" s="60"/>
      <c r="AE108" s="31"/>
      <c r="AF108" s="61"/>
      <c r="AG108" s="60"/>
      <c r="AH108" s="31"/>
      <c r="AI108" s="61"/>
      <c r="AJ108" s="60"/>
      <c r="AK108" s="31"/>
      <c r="AL108" s="61"/>
      <c r="AM108" s="60"/>
      <c r="AN108" s="31"/>
      <c r="AO108" s="61"/>
      <c r="AP108" s="60"/>
      <c r="AQ108" s="31"/>
      <c r="AR108" s="61"/>
      <c r="AS108" s="60"/>
      <c r="AT108" s="31"/>
      <c r="AU108" s="61"/>
    </row>
    <row r="109" ht="36.75" customHeight="1">
      <c r="A109" s="87" t="s">
        <v>326</v>
      </c>
      <c r="B109" s="78" t="s">
        <v>327</v>
      </c>
      <c r="C109" s="88" t="str">
        <f t="shared" si="4"/>
        <v>#REF!</v>
      </c>
      <c r="D109" s="89" t="s">
        <v>205</v>
      </c>
      <c r="E109" s="51" t="str">
        <f t="shared" si="5"/>
        <v>#REF!</v>
      </c>
      <c r="F109" s="90">
        <v>1.0</v>
      </c>
      <c r="G109" s="51">
        <v>6000.0</v>
      </c>
      <c r="H109" s="51">
        <f>'PAINEL DE CONTROLE'!$D$5</f>
        <v>13697</v>
      </c>
      <c r="I109" s="51"/>
      <c r="J109" s="51">
        <f t="shared" si="13"/>
        <v>6000</v>
      </c>
      <c r="K109" s="54">
        <f t="shared" si="2"/>
        <v>-7697</v>
      </c>
      <c r="L109" s="60"/>
      <c r="M109" s="31"/>
      <c r="N109" s="61"/>
      <c r="O109" s="60"/>
      <c r="P109" s="31"/>
      <c r="Q109" s="61"/>
      <c r="R109" s="60"/>
      <c r="S109" s="31"/>
      <c r="T109" s="61"/>
      <c r="U109" s="60"/>
      <c r="V109" s="31"/>
      <c r="W109" s="61"/>
      <c r="X109" s="60"/>
      <c r="Y109" s="31"/>
      <c r="Z109" s="61"/>
      <c r="AA109" s="60"/>
      <c r="AB109" s="31"/>
      <c r="AC109" s="61"/>
      <c r="AD109" s="60"/>
      <c r="AE109" s="31"/>
      <c r="AF109" s="61"/>
      <c r="AG109" s="60"/>
      <c r="AH109" s="31"/>
      <c r="AI109" s="61"/>
      <c r="AJ109" s="60"/>
      <c r="AK109" s="31"/>
      <c r="AL109" s="61"/>
      <c r="AM109" s="60"/>
      <c r="AN109" s="31"/>
      <c r="AO109" s="61"/>
      <c r="AP109" s="60"/>
      <c r="AQ109" s="31"/>
      <c r="AR109" s="61"/>
      <c r="AS109" s="60"/>
      <c r="AT109" s="31"/>
      <c r="AU109" s="61"/>
    </row>
    <row r="110" ht="36.75" customHeight="1">
      <c r="A110" s="63"/>
      <c r="B110" s="78" t="s">
        <v>328</v>
      </c>
      <c r="C110" s="88" t="str">
        <f t="shared" si="4"/>
        <v>#REF!</v>
      </c>
      <c r="D110" s="89" t="s">
        <v>224</v>
      </c>
      <c r="E110" s="51" t="str">
        <f t="shared" si="5"/>
        <v>#REF!</v>
      </c>
      <c r="F110" s="90">
        <v>1.0</v>
      </c>
      <c r="G110" s="51">
        <v>2000.0</v>
      </c>
      <c r="H110" s="51">
        <f>'PAINEL DE CONTROLE'!$D$5</f>
        <v>13697</v>
      </c>
      <c r="I110" s="51">
        <v>100800.0</v>
      </c>
      <c r="J110" s="51">
        <f t="shared" si="13"/>
        <v>102800</v>
      </c>
      <c r="K110" s="54">
        <f t="shared" si="2"/>
        <v>89103</v>
      </c>
      <c r="L110" s="60"/>
      <c r="M110" s="31"/>
      <c r="N110" s="61"/>
      <c r="O110" s="60"/>
      <c r="P110" s="31"/>
      <c r="Q110" s="61"/>
      <c r="R110" s="60"/>
      <c r="S110" s="31"/>
      <c r="T110" s="61"/>
      <c r="U110" s="60"/>
      <c r="V110" s="31"/>
      <c r="W110" s="61"/>
      <c r="X110" s="60"/>
      <c r="Y110" s="31"/>
      <c r="Z110" s="61"/>
      <c r="AA110" s="60"/>
      <c r="AB110" s="31"/>
      <c r="AC110" s="61"/>
      <c r="AD110" s="60"/>
      <c r="AE110" s="31"/>
      <c r="AF110" s="61"/>
      <c r="AG110" s="60"/>
      <c r="AH110" s="31"/>
      <c r="AI110" s="61"/>
      <c r="AJ110" s="60"/>
      <c r="AK110" s="31"/>
      <c r="AL110" s="61"/>
      <c r="AM110" s="60"/>
      <c r="AN110" s="31"/>
      <c r="AO110" s="61"/>
      <c r="AP110" s="60"/>
      <c r="AQ110" s="31"/>
      <c r="AR110" s="61"/>
      <c r="AS110" s="60"/>
      <c r="AT110" s="31"/>
      <c r="AU110" s="61"/>
    </row>
    <row r="111" ht="36.75" customHeight="1">
      <c r="A111" s="72" t="s">
        <v>329</v>
      </c>
      <c r="B111" s="95"/>
      <c r="C111" s="75" t="str">
        <f t="shared" si="4"/>
        <v>#REF!</v>
      </c>
      <c r="D111" s="74" t="s">
        <v>321</v>
      </c>
      <c r="E111" s="57" t="str">
        <f t="shared" si="5"/>
        <v>#REF!</v>
      </c>
      <c r="F111" s="58">
        <v>1.0</v>
      </c>
      <c r="G111" s="57" t="s">
        <v>113</v>
      </c>
      <c r="H111" s="57">
        <f>'PAINEL DE CONTROLE'!$D$5</f>
        <v>13697</v>
      </c>
      <c r="I111" s="57"/>
      <c r="J111" s="57" t="str">
        <f t="shared" si="13"/>
        <v>#VALUE!</v>
      </c>
      <c r="K111" s="54" t="str">
        <f t="shared" si="2"/>
        <v>#VALUE!</v>
      </c>
      <c r="L111" s="60"/>
      <c r="M111" s="31"/>
      <c r="N111" s="61"/>
      <c r="O111" s="60"/>
      <c r="P111" s="31"/>
      <c r="Q111" s="61"/>
      <c r="R111" s="60"/>
      <c r="S111" s="31"/>
      <c r="T111" s="61"/>
      <c r="U111" s="60"/>
      <c r="V111" s="31"/>
      <c r="W111" s="61"/>
      <c r="X111" s="60"/>
      <c r="Y111" s="31"/>
      <c r="Z111" s="61"/>
      <c r="AA111" s="60"/>
      <c r="AB111" s="31"/>
      <c r="AC111" s="61"/>
      <c r="AD111" s="60"/>
      <c r="AE111" s="31"/>
      <c r="AF111" s="61"/>
      <c r="AG111" s="60"/>
      <c r="AH111" s="31"/>
      <c r="AI111" s="61"/>
      <c r="AJ111" s="60"/>
      <c r="AK111" s="31"/>
      <c r="AL111" s="61"/>
      <c r="AM111" s="60"/>
      <c r="AN111" s="31"/>
      <c r="AO111" s="61"/>
      <c r="AP111" s="60"/>
      <c r="AQ111" s="31"/>
      <c r="AR111" s="61"/>
      <c r="AS111" s="60"/>
      <c r="AT111" s="31"/>
      <c r="AU111" s="61"/>
    </row>
    <row r="112" ht="36.75" customHeight="1">
      <c r="A112" s="63"/>
      <c r="B112" s="95"/>
      <c r="C112" s="75" t="str">
        <f t="shared" si="4"/>
        <v>#REF!</v>
      </c>
      <c r="D112" s="74" t="s">
        <v>322</v>
      </c>
      <c r="E112" s="57" t="str">
        <f t="shared" si="5"/>
        <v>#REF!</v>
      </c>
      <c r="F112" s="58">
        <v>1.0</v>
      </c>
      <c r="G112" s="57" t="s">
        <v>113</v>
      </c>
      <c r="H112" s="57">
        <f>'PAINEL DE CONTROLE'!$D$5</f>
        <v>13697</v>
      </c>
      <c r="I112" s="57"/>
      <c r="J112" s="57" t="str">
        <f t="shared" si="13"/>
        <v>#VALUE!</v>
      </c>
      <c r="K112" s="54" t="str">
        <f t="shared" si="2"/>
        <v>#VALUE!</v>
      </c>
      <c r="L112" s="60"/>
      <c r="M112" s="31"/>
      <c r="N112" s="61"/>
      <c r="O112" s="60"/>
      <c r="P112" s="31"/>
      <c r="Q112" s="61"/>
      <c r="R112" s="60"/>
      <c r="S112" s="31"/>
      <c r="T112" s="61"/>
      <c r="U112" s="60"/>
      <c r="V112" s="31"/>
      <c r="W112" s="61"/>
      <c r="X112" s="60"/>
      <c r="Y112" s="31"/>
      <c r="Z112" s="61"/>
      <c r="AA112" s="60"/>
      <c r="AB112" s="31"/>
      <c r="AC112" s="61"/>
      <c r="AD112" s="60"/>
      <c r="AE112" s="31"/>
      <c r="AF112" s="61"/>
      <c r="AG112" s="60"/>
      <c r="AH112" s="31"/>
      <c r="AI112" s="61"/>
      <c r="AJ112" s="60"/>
      <c r="AK112" s="31"/>
      <c r="AL112" s="61"/>
      <c r="AM112" s="60"/>
      <c r="AN112" s="31"/>
      <c r="AO112" s="61"/>
      <c r="AP112" s="60"/>
      <c r="AQ112" s="31"/>
      <c r="AR112" s="61"/>
      <c r="AS112" s="60"/>
      <c r="AT112" s="31"/>
      <c r="AU112" s="61"/>
    </row>
    <row r="113" ht="36.75" customHeight="1">
      <c r="A113" s="87" t="s">
        <v>330</v>
      </c>
      <c r="B113" s="78" t="s">
        <v>331</v>
      </c>
      <c r="C113" s="88" t="str">
        <f t="shared" si="4"/>
        <v>#REF!</v>
      </c>
      <c r="D113" s="89" t="s">
        <v>200</v>
      </c>
      <c r="E113" s="51" t="str">
        <f t="shared" si="5"/>
        <v>#REF!</v>
      </c>
      <c r="F113" s="90">
        <v>1.0</v>
      </c>
      <c r="G113" s="51">
        <v>1000.0</v>
      </c>
      <c r="H113" s="51">
        <f>'PAINEL DE CONTROLE'!$D$5</f>
        <v>13697</v>
      </c>
      <c r="I113" s="51"/>
      <c r="J113" s="51"/>
      <c r="K113" s="54">
        <f t="shared" si="2"/>
        <v>-13697</v>
      </c>
      <c r="L113" s="60"/>
      <c r="M113" s="31"/>
      <c r="N113" s="61"/>
      <c r="O113" s="60"/>
      <c r="P113" s="31"/>
      <c r="Q113" s="61"/>
      <c r="R113" s="60"/>
      <c r="S113" s="31"/>
      <c r="T113" s="61"/>
      <c r="U113" s="60"/>
      <c r="V113" s="31"/>
      <c r="W113" s="61"/>
      <c r="X113" s="60"/>
      <c r="Y113" s="31"/>
      <c r="Z113" s="61"/>
      <c r="AA113" s="60"/>
      <c r="AB113" s="31"/>
      <c r="AC113" s="61"/>
      <c r="AD113" s="60"/>
      <c r="AE113" s="31"/>
      <c r="AF113" s="61"/>
      <c r="AG113" s="60"/>
      <c r="AH113" s="31"/>
      <c r="AI113" s="61"/>
      <c r="AJ113" s="60"/>
      <c r="AK113" s="31"/>
      <c r="AL113" s="61"/>
      <c r="AM113" s="60"/>
      <c r="AN113" s="31"/>
      <c r="AO113" s="61"/>
      <c r="AP113" s="60"/>
      <c r="AQ113" s="31"/>
      <c r="AR113" s="61"/>
      <c r="AS113" s="60"/>
      <c r="AT113" s="31"/>
      <c r="AU113" s="61"/>
    </row>
    <row r="114" ht="36.75" customHeight="1">
      <c r="A114" s="63"/>
      <c r="B114" s="78" t="s">
        <v>332</v>
      </c>
      <c r="C114" s="88" t="str">
        <f t="shared" si="4"/>
        <v>#REF!</v>
      </c>
      <c r="D114" s="89" t="s">
        <v>202</v>
      </c>
      <c r="E114" s="51" t="str">
        <f t="shared" si="5"/>
        <v>#REF!</v>
      </c>
      <c r="F114" s="90">
        <v>1.0</v>
      </c>
      <c r="G114" s="51">
        <v>6000.0</v>
      </c>
      <c r="H114" s="51">
        <f>'PAINEL DE CONTROLE'!$D$5</f>
        <v>13697</v>
      </c>
      <c r="I114" s="51"/>
      <c r="J114" s="51"/>
      <c r="K114" s="54">
        <f t="shared" si="2"/>
        <v>-13697</v>
      </c>
      <c r="L114" s="60"/>
      <c r="M114" s="31"/>
      <c r="N114" s="61"/>
      <c r="O114" s="60"/>
      <c r="P114" s="31"/>
      <c r="Q114" s="61"/>
      <c r="R114" s="60"/>
      <c r="S114" s="31"/>
      <c r="T114" s="61"/>
      <c r="U114" s="60"/>
      <c r="V114" s="31"/>
      <c r="W114" s="61"/>
      <c r="X114" s="60"/>
      <c r="Y114" s="31"/>
      <c r="Z114" s="61"/>
      <c r="AA114" s="60"/>
      <c r="AB114" s="31"/>
      <c r="AC114" s="61"/>
      <c r="AD114" s="60"/>
      <c r="AE114" s="31"/>
      <c r="AF114" s="61"/>
      <c r="AG114" s="60"/>
      <c r="AH114" s="31"/>
      <c r="AI114" s="61"/>
      <c r="AJ114" s="60"/>
      <c r="AK114" s="31"/>
      <c r="AL114" s="61"/>
      <c r="AM114" s="60"/>
      <c r="AN114" s="31"/>
      <c r="AO114" s="61"/>
      <c r="AP114" s="60"/>
      <c r="AQ114" s="31"/>
      <c r="AR114" s="61"/>
      <c r="AS114" s="60"/>
      <c r="AT114" s="31"/>
      <c r="AU114" s="61"/>
    </row>
    <row r="115" ht="36.75" customHeight="1">
      <c r="A115" s="72" t="s">
        <v>333</v>
      </c>
      <c r="B115" s="73" t="s">
        <v>334</v>
      </c>
      <c r="C115" s="75" t="str">
        <f t="shared" si="4"/>
        <v>#REF!</v>
      </c>
      <c r="D115" s="74" t="s">
        <v>200</v>
      </c>
      <c r="E115" s="57" t="str">
        <f t="shared" si="5"/>
        <v>#REF!</v>
      </c>
      <c r="F115" s="58">
        <v>1.0</v>
      </c>
      <c r="G115" s="57">
        <v>1000.0</v>
      </c>
      <c r="H115" s="57">
        <f>'PAINEL DE CONTROLE'!$D$5</f>
        <v>13697</v>
      </c>
      <c r="I115" s="57"/>
      <c r="J115" s="57"/>
      <c r="K115" s="54">
        <f t="shared" si="2"/>
        <v>-13697</v>
      </c>
      <c r="L115" s="92"/>
      <c r="M115" s="93"/>
      <c r="N115" s="94"/>
      <c r="O115" s="92"/>
      <c r="P115" s="93"/>
      <c r="Q115" s="94"/>
      <c r="R115" s="92"/>
      <c r="S115" s="93"/>
      <c r="T115" s="94"/>
      <c r="U115" s="92"/>
      <c r="V115" s="93"/>
      <c r="W115" s="94"/>
      <c r="X115" s="92"/>
      <c r="Y115" s="93"/>
      <c r="Z115" s="94"/>
      <c r="AA115" s="92"/>
      <c r="AB115" s="93"/>
      <c r="AC115" s="94"/>
      <c r="AD115" s="92"/>
      <c r="AE115" s="93"/>
      <c r="AF115" s="94"/>
      <c r="AG115" s="92"/>
      <c r="AH115" s="93"/>
      <c r="AI115" s="94"/>
      <c r="AJ115" s="92"/>
      <c r="AK115" s="93"/>
      <c r="AL115" s="94"/>
      <c r="AM115" s="92"/>
      <c r="AN115" s="93"/>
      <c r="AO115" s="94"/>
      <c r="AP115" s="92"/>
      <c r="AQ115" s="93"/>
      <c r="AR115" s="94"/>
      <c r="AS115" s="92"/>
      <c r="AT115" s="93"/>
      <c r="AU115" s="94"/>
    </row>
    <row r="116" ht="36.75" customHeight="1">
      <c r="A116" s="63"/>
      <c r="B116" s="73" t="s">
        <v>335</v>
      </c>
      <c r="C116" s="75" t="str">
        <f t="shared" si="4"/>
        <v>#REF!</v>
      </c>
      <c r="D116" s="74" t="s">
        <v>202</v>
      </c>
      <c r="E116" s="57" t="str">
        <f t="shared" si="5"/>
        <v>#REF!</v>
      </c>
      <c r="F116" s="58">
        <v>1.0</v>
      </c>
      <c r="G116" s="57">
        <v>6000.0</v>
      </c>
      <c r="H116" s="57">
        <f>'PAINEL DE CONTROLE'!$D$5</f>
        <v>13697</v>
      </c>
      <c r="I116" s="57"/>
      <c r="J116" s="57"/>
      <c r="K116" s="54">
        <f t="shared" si="2"/>
        <v>-13697</v>
      </c>
      <c r="L116" s="92"/>
      <c r="M116" s="93"/>
      <c r="N116" s="94"/>
      <c r="O116" s="92"/>
      <c r="P116" s="93"/>
      <c r="Q116" s="94"/>
      <c r="R116" s="92"/>
      <c r="S116" s="93"/>
      <c r="T116" s="94"/>
      <c r="U116" s="92"/>
      <c r="V116" s="93"/>
      <c r="W116" s="94"/>
      <c r="X116" s="92"/>
      <c r="Y116" s="93"/>
      <c r="Z116" s="94"/>
      <c r="AA116" s="92"/>
      <c r="AB116" s="93"/>
      <c r="AC116" s="94"/>
      <c r="AD116" s="92"/>
      <c r="AE116" s="93"/>
      <c r="AF116" s="94"/>
      <c r="AG116" s="92"/>
      <c r="AH116" s="93"/>
      <c r="AI116" s="94"/>
      <c r="AJ116" s="92"/>
      <c r="AK116" s="93"/>
      <c r="AL116" s="94"/>
      <c r="AM116" s="92"/>
      <c r="AN116" s="93"/>
      <c r="AO116" s="94"/>
      <c r="AP116" s="92"/>
      <c r="AQ116" s="93"/>
      <c r="AR116" s="94"/>
      <c r="AS116" s="92"/>
      <c r="AT116" s="93"/>
      <c r="AU116" s="94"/>
    </row>
    <row r="117" ht="36.75" customHeight="1">
      <c r="A117" s="87" t="s">
        <v>336</v>
      </c>
      <c r="B117" s="78" t="s">
        <v>337</v>
      </c>
      <c r="C117" s="88" t="str">
        <f t="shared" si="4"/>
        <v>#REF!</v>
      </c>
      <c r="D117" s="89" t="s">
        <v>200</v>
      </c>
      <c r="E117" s="51" t="str">
        <f t="shared" si="5"/>
        <v>#REF!</v>
      </c>
      <c r="F117" s="90">
        <v>1.0</v>
      </c>
      <c r="G117" s="51">
        <v>1000.0</v>
      </c>
      <c r="H117" s="51">
        <f>'PAINEL DE CONTROLE'!$D$5</f>
        <v>13697</v>
      </c>
      <c r="I117" s="51"/>
      <c r="J117" s="51"/>
      <c r="K117" s="54">
        <f t="shared" si="2"/>
        <v>-13697</v>
      </c>
      <c r="L117" s="60"/>
      <c r="M117" s="31"/>
      <c r="N117" s="61"/>
      <c r="O117" s="60"/>
      <c r="P117" s="31"/>
      <c r="Q117" s="61"/>
      <c r="R117" s="60"/>
      <c r="S117" s="31"/>
      <c r="T117" s="61"/>
      <c r="U117" s="60"/>
      <c r="V117" s="31"/>
      <c r="W117" s="61"/>
      <c r="X117" s="60"/>
      <c r="Y117" s="31"/>
      <c r="Z117" s="61"/>
      <c r="AA117" s="60"/>
      <c r="AB117" s="31"/>
      <c r="AC117" s="61"/>
      <c r="AD117" s="60"/>
      <c r="AE117" s="31"/>
      <c r="AF117" s="61"/>
      <c r="AG117" s="60"/>
      <c r="AH117" s="31"/>
      <c r="AI117" s="61"/>
      <c r="AJ117" s="60"/>
      <c r="AK117" s="31"/>
      <c r="AL117" s="61"/>
      <c r="AM117" s="60"/>
      <c r="AN117" s="31"/>
      <c r="AO117" s="61"/>
      <c r="AP117" s="60"/>
      <c r="AQ117" s="31"/>
      <c r="AR117" s="61"/>
      <c r="AS117" s="60"/>
      <c r="AT117" s="31"/>
      <c r="AU117" s="61"/>
    </row>
    <row r="118" ht="36.75" customHeight="1">
      <c r="A118" s="63"/>
      <c r="B118" s="78" t="s">
        <v>338</v>
      </c>
      <c r="C118" s="88" t="str">
        <f t="shared" si="4"/>
        <v>#REF!</v>
      </c>
      <c r="D118" s="89" t="s">
        <v>202</v>
      </c>
      <c r="E118" s="51" t="str">
        <f t="shared" si="5"/>
        <v>#REF!</v>
      </c>
      <c r="F118" s="90">
        <v>1.0</v>
      </c>
      <c r="G118" s="51">
        <v>6000.0</v>
      </c>
      <c r="H118" s="51">
        <f>'PAINEL DE CONTROLE'!$D$5</f>
        <v>13697</v>
      </c>
      <c r="I118" s="51"/>
      <c r="J118" s="51"/>
      <c r="K118" s="54">
        <f t="shared" si="2"/>
        <v>-13697</v>
      </c>
      <c r="L118" s="60"/>
      <c r="M118" s="31"/>
      <c r="N118" s="61"/>
      <c r="O118" s="60"/>
      <c r="P118" s="31"/>
      <c r="Q118" s="61"/>
      <c r="R118" s="60"/>
      <c r="S118" s="31"/>
      <c r="T118" s="61"/>
      <c r="U118" s="60"/>
      <c r="V118" s="31"/>
      <c r="W118" s="61"/>
      <c r="X118" s="60"/>
      <c r="Y118" s="31"/>
      <c r="Z118" s="61"/>
      <c r="AA118" s="60"/>
      <c r="AB118" s="31"/>
      <c r="AC118" s="61"/>
      <c r="AD118" s="60"/>
      <c r="AE118" s="31"/>
      <c r="AF118" s="61"/>
      <c r="AG118" s="60"/>
      <c r="AH118" s="31"/>
      <c r="AI118" s="61"/>
      <c r="AJ118" s="60"/>
      <c r="AK118" s="31"/>
      <c r="AL118" s="61"/>
      <c r="AM118" s="60"/>
      <c r="AN118" s="31"/>
      <c r="AO118" s="61"/>
      <c r="AP118" s="60"/>
      <c r="AQ118" s="31"/>
      <c r="AR118" s="61"/>
      <c r="AS118" s="60"/>
      <c r="AT118" s="31"/>
      <c r="AU118" s="61"/>
    </row>
    <row r="119" ht="40.5" customHeight="1">
      <c r="A119" s="72" t="s">
        <v>339</v>
      </c>
      <c r="B119" s="72" t="s">
        <v>340</v>
      </c>
      <c r="C119" s="75" t="str">
        <f t="shared" si="4"/>
        <v>#REF!</v>
      </c>
      <c r="D119" s="74" t="s">
        <v>341</v>
      </c>
      <c r="E119" s="57" t="str">
        <f t="shared" si="5"/>
        <v>#REF!</v>
      </c>
      <c r="F119" s="58">
        <v>1.0</v>
      </c>
      <c r="G119" s="57">
        <v>3000.0</v>
      </c>
      <c r="H119" s="57">
        <f>'PAINEL DE CONTROLE'!$D$5</f>
        <v>13697</v>
      </c>
      <c r="I119" s="57"/>
      <c r="J119" s="57"/>
      <c r="K119" s="54">
        <f t="shared" si="2"/>
        <v>-13697</v>
      </c>
      <c r="L119" s="92"/>
      <c r="M119" s="93"/>
      <c r="N119" s="94"/>
      <c r="O119" s="92"/>
      <c r="P119" s="93"/>
      <c r="Q119" s="94"/>
      <c r="R119" s="92"/>
      <c r="S119" s="93"/>
      <c r="T119" s="94"/>
      <c r="U119" s="92"/>
      <c r="V119" s="93"/>
      <c r="W119" s="94"/>
      <c r="X119" s="92"/>
      <c r="Y119" s="93"/>
      <c r="Z119" s="94"/>
      <c r="AA119" s="92"/>
      <c r="AB119" s="93"/>
      <c r="AC119" s="94"/>
      <c r="AD119" s="92"/>
      <c r="AE119" s="93"/>
      <c r="AF119" s="94"/>
      <c r="AG119" s="92"/>
      <c r="AH119" s="93"/>
      <c r="AI119" s="94"/>
      <c r="AJ119" s="92"/>
      <c r="AK119" s="93"/>
      <c r="AL119" s="94"/>
      <c r="AM119" s="92"/>
      <c r="AN119" s="93"/>
      <c r="AO119" s="94"/>
      <c r="AP119" s="92"/>
      <c r="AQ119" s="93"/>
      <c r="AR119" s="94"/>
      <c r="AS119" s="92"/>
      <c r="AT119" s="93"/>
      <c r="AU119" s="94"/>
    </row>
    <row r="120" ht="40.5" customHeight="1">
      <c r="A120" s="63"/>
      <c r="B120" s="63"/>
      <c r="C120" s="75" t="str">
        <f t="shared" si="4"/>
        <v>#REF!</v>
      </c>
      <c r="D120" s="74" t="s">
        <v>202</v>
      </c>
      <c r="E120" s="57" t="str">
        <f t="shared" si="5"/>
        <v>#REF!</v>
      </c>
      <c r="F120" s="58">
        <v>1.0</v>
      </c>
      <c r="G120" s="57">
        <v>3000.0</v>
      </c>
      <c r="H120" s="57"/>
      <c r="I120" s="57"/>
      <c r="J120" s="57"/>
      <c r="K120" s="54"/>
      <c r="L120" s="92"/>
      <c r="M120" s="93"/>
      <c r="N120" s="94"/>
      <c r="O120" s="92"/>
      <c r="P120" s="93"/>
      <c r="Q120" s="94"/>
      <c r="R120" s="92"/>
      <c r="S120" s="93"/>
      <c r="T120" s="94"/>
      <c r="U120" s="92"/>
      <c r="V120" s="93"/>
      <c r="W120" s="94"/>
      <c r="X120" s="92"/>
      <c r="Y120" s="93"/>
      <c r="Z120" s="94"/>
      <c r="AA120" s="92"/>
      <c r="AB120" s="93"/>
      <c r="AC120" s="94"/>
      <c r="AD120" s="92"/>
      <c r="AE120" s="93"/>
      <c r="AF120" s="94"/>
      <c r="AG120" s="92"/>
      <c r="AH120" s="93"/>
      <c r="AI120" s="94"/>
      <c r="AJ120" s="92"/>
      <c r="AK120" s="93"/>
      <c r="AL120" s="94"/>
      <c r="AM120" s="92"/>
      <c r="AN120" s="93"/>
      <c r="AO120" s="94"/>
      <c r="AP120" s="92"/>
      <c r="AQ120" s="93"/>
      <c r="AR120" s="94"/>
      <c r="AS120" s="92"/>
      <c r="AT120" s="93"/>
      <c r="AU120" s="94"/>
    </row>
    <row r="121" ht="36.75" customHeight="1">
      <c r="A121" s="87" t="s">
        <v>342</v>
      </c>
      <c r="B121" s="78" t="s">
        <v>343</v>
      </c>
      <c r="C121" s="88" t="str">
        <f t="shared" si="4"/>
        <v>#REF!</v>
      </c>
      <c r="D121" s="89" t="s">
        <v>200</v>
      </c>
      <c r="E121" s="51" t="str">
        <f t="shared" si="5"/>
        <v>#REF!</v>
      </c>
      <c r="F121" s="90">
        <v>1.0</v>
      </c>
      <c r="G121" s="51">
        <v>1000.0</v>
      </c>
      <c r="H121" s="51">
        <f>'PAINEL DE CONTROLE'!$D$5</f>
        <v>13697</v>
      </c>
      <c r="I121" s="51"/>
      <c r="J121" s="51"/>
      <c r="K121" s="54">
        <f t="shared" ref="K121:K148" si="14">J121-H121</f>
        <v>-13697</v>
      </c>
      <c r="L121" s="60"/>
      <c r="M121" s="31"/>
      <c r="N121" s="61"/>
      <c r="O121" s="60"/>
      <c r="P121" s="31"/>
      <c r="Q121" s="61"/>
      <c r="R121" s="60"/>
      <c r="S121" s="31"/>
      <c r="T121" s="61"/>
      <c r="U121" s="60"/>
      <c r="V121" s="31"/>
      <c r="W121" s="61"/>
      <c r="X121" s="60"/>
      <c r="Y121" s="31"/>
      <c r="Z121" s="61"/>
      <c r="AA121" s="60"/>
      <c r="AB121" s="31"/>
      <c r="AC121" s="61"/>
      <c r="AD121" s="60"/>
      <c r="AE121" s="31"/>
      <c r="AF121" s="61"/>
      <c r="AG121" s="60"/>
      <c r="AH121" s="31"/>
      <c r="AI121" s="61"/>
      <c r="AJ121" s="60"/>
      <c r="AK121" s="31"/>
      <c r="AL121" s="61"/>
      <c r="AM121" s="60"/>
      <c r="AN121" s="31"/>
      <c r="AO121" s="61"/>
      <c r="AP121" s="60"/>
      <c r="AQ121" s="31"/>
      <c r="AR121" s="61"/>
      <c r="AS121" s="60"/>
      <c r="AT121" s="31"/>
      <c r="AU121" s="61"/>
    </row>
    <row r="122" ht="36.75" customHeight="1">
      <c r="A122" s="63"/>
      <c r="B122" s="78" t="s">
        <v>344</v>
      </c>
      <c r="C122" s="88" t="str">
        <f t="shared" si="4"/>
        <v>#REF!</v>
      </c>
      <c r="D122" s="89" t="s">
        <v>202</v>
      </c>
      <c r="E122" s="51" t="str">
        <f t="shared" si="5"/>
        <v>#REF!</v>
      </c>
      <c r="F122" s="90">
        <v>1.0</v>
      </c>
      <c r="G122" s="51">
        <v>6000.0</v>
      </c>
      <c r="H122" s="51">
        <f>'PAINEL DE CONTROLE'!$D$5</f>
        <v>13697</v>
      </c>
      <c r="I122" s="51"/>
      <c r="J122" s="51"/>
      <c r="K122" s="54">
        <f t="shared" si="14"/>
        <v>-13697</v>
      </c>
      <c r="L122" s="60"/>
      <c r="M122" s="31"/>
      <c r="N122" s="61"/>
      <c r="O122" s="60"/>
      <c r="P122" s="31"/>
      <c r="Q122" s="61"/>
      <c r="R122" s="60"/>
      <c r="S122" s="31"/>
      <c r="T122" s="61"/>
      <c r="U122" s="60"/>
      <c r="V122" s="31"/>
      <c r="W122" s="61"/>
      <c r="X122" s="60"/>
      <c r="Y122" s="31"/>
      <c r="Z122" s="61"/>
      <c r="AA122" s="60"/>
      <c r="AB122" s="31"/>
      <c r="AC122" s="61"/>
      <c r="AD122" s="60"/>
      <c r="AE122" s="31"/>
      <c r="AF122" s="61"/>
      <c r="AG122" s="60"/>
      <c r="AH122" s="31"/>
      <c r="AI122" s="61"/>
      <c r="AJ122" s="60"/>
      <c r="AK122" s="31"/>
      <c r="AL122" s="61"/>
      <c r="AM122" s="60"/>
      <c r="AN122" s="31"/>
      <c r="AO122" s="61"/>
      <c r="AP122" s="60"/>
      <c r="AQ122" s="31"/>
      <c r="AR122" s="61"/>
      <c r="AS122" s="60"/>
      <c r="AT122" s="31"/>
      <c r="AU122" s="61"/>
    </row>
    <row r="123" ht="15.75" customHeight="1">
      <c r="A123" s="73" t="s">
        <v>345</v>
      </c>
      <c r="B123" s="73" t="s">
        <v>346</v>
      </c>
      <c r="C123" s="75" t="str">
        <f t="shared" si="4"/>
        <v>#REF!</v>
      </c>
      <c r="D123" s="74" t="s">
        <v>347</v>
      </c>
      <c r="E123" s="57" t="str">
        <f t="shared" si="5"/>
        <v>#REF!</v>
      </c>
      <c r="F123" s="58">
        <v>1.0</v>
      </c>
      <c r="G123" s="57">
        <v>6000.0</v>
      </c>
      <c r="H123" s="57">
        <f>'PAINEL DE CONTROLE'!$D$5</f>
        <v>13697</v>
      </c>
      <c r="I123" s="57">
        <v>100800.0</v>
      </c>
      <c r="J123" s="57">
        <f t="shared" ref="J123:J126" si="15">SUM(I123+G123)</f>
        <v>106800</v>
      </c>
      <c r="K123" s="54">
        <f t="shared" si="14"/>
        <v>93103</v>
      </c>
      <c r="L123" s="60"/>
      <c r="M123" s="31"/>
      <c r="N123" s="61"/>
      <c r="O123" s="60"/>
      <c r="P123" s="31"/>
      <c r="Q123" s="61"/>
      <c r="R123" s="60"/>
      <c r="S123" s="31"/>
      <c r="T123" s="61"/>
      <c r="U123" s="60"/>
      <c r="V123" s="31"/>
      <c r="W123" s="61"/>
      <c r="X123" s="60"/>
      <c r="Y123" s="31"/>
      <c r="Z123" s="61"/>
      <c r="AA123" s="60"/>
      <c r="AB123" s="31"/>
      <c r="AC123" s="61"/>
      <c r="AD123" s="60"/>
      <c r="AE123" s="31"/>
      <c r="AF123" s="61"/>
      <c r="AG123" s="60"/>
      <c r="AH123" s="31"/>
      <c r="AI123" s="61"/>
      <c r="AJ123" s="60"/>
      <c r="AK123" s="31"/>
      <c r="AL123" s="61"/>
      <c r="AM123" s="60"/>
      <c r="AN123" s="31"/>
      <c r="AO123" s="61"/>
      <c r="AP123" s="60"/>
      <c r="AQ123" s="31"/>
      <c r="AR123" s="61"/>
      <c r="AS123" s="60"/>
      <c r="AT123" s="31"/>
      <c r="AU123" s="61"/>
    </row>
    <row r="124" ht="15.75" customHeight="1">
      <c r="A124" s="78" t="s">
        <v>348</v>
      </c>
      <c r="B124" s="78" t="s">
        <v>349</v>
      </c>
      <c r="C124" s="88" t="str">
        <f t="shared" si="4"/>
        <v>#REF!</v>
      </c>
      <c r="D124" s="89" t="s">
        <v>347</v>
      </c>
      <c r="E124" s="51" t="str">
        <f t="shared" si="5"/>
        <v>#REF!</v>
      </c>
      <c r="F124" s="90">
        <v>1.0</v>
      </c>
      <c r="G124" s="51">
        <v>6000.0</v>
      </c>
      <c r="H124" s="51">
        <f>'PAINEL DE CONTROLE'!$D$5</f>
        <v>13697</v>
      </c>
      <c r="I124" s="51">
        <v>100800.0</v>
      </c>
      <c r="J124" s="51">
        <f t="shared" si="15"/>
        <v>106800</v>
      </c>
      <c r="K124" s="54">
        <f t="shared" si="14"/>
        <v>93103</v>
      </c>
      <c r="L124" s="60"/>
      <c r="M124" s="31"/>
      <c r="N124" s="61"/>
      <c r="O124" s="60"/>
      <c r="P124" s="31"/>
      <c r="Q124" s="61"/>
      <c r="R124" s="60"/>
      <c r="S124" s="31"/>
      <c r="T124" s="61"/>
      <c r="U124" s="60"/>
      <c r="V124" s="31"/>
      <c r="W124" s="61"/>
      <c r="X124" s="60"/>
      <c r="Y124" s="31"/>
      <c r="Z124" s="61"/>
      <c r="AA124" s="60"/>
      <c r="AB124" s="31"/>
      <c r="AC124" s="61"/>
      <c r="AD124" s="60"/>
      <c r="AE124" s="31"/>
      <c r="AF124" s="61"/>
      <c r="AG124" s="60"/>
      <c r="AH124" s="31"/>
      <c r="AI124" s="61"/>
      <c r="AJ124" s="60"/>
      <c r="AK124" s="31"/>
      <c r="AL124" s="61"/>
      <c r="AM124" s="60"/>
      <c r="AN124" s="31"/>
      <c r="AO124" s="61"/>
      <c r="AP124" s="60"/>
      <c r="AQ124" s="31"/>
      <c r="AR124" s="61"/>
      <c r="AS124" s="60"/>
      <c r="AT124" s="31"/>
      <c r="AU124" s="61"/>
    </row>
    <row r="125" ht="15.75" customHeight="1">
      <c r="A125" s="73" t="s">
        <v>350</v>
      </c>
      <c r="B125" s="73" t="s">
        <v>351</v>
      </c>
      <c r="C125" s="75" t="str">
        <f t="shared" si="4"/>
        <v>#REF!</v>
      </c>
      <c r="D125" s="74" t="s">
        <v>347</v>
      </c>
      <c r="E125" s="57" t="str">
        <f t="shared" si="5"/>
        <v>#REF!</v>
      </c>
      <c r="F125" s="58">
        <v>1.0</v>
      </c>
      <c r="G125" s="57">
        <v>6000.0</v>
      </c>
      <c r="H125" s="57">
        <f>'PAINEL DE CONTROLE'!$D$5</f>
        <v>13697</v>
      </c>
      <c r="I125" s="57">
        <v>100800.0</v>
      </c>
      <c r="J125" s="57">
        <f t="shared" si="15"/>
        <v>106800</v>
      </c>
      <c r="K125" s="54">
        <f t="shared" si="14"/>
        <v>93103</v>
      </c>
      <c r="L125" s="60"/>
      <c r="M125" s="31"/>
      <c r="N125" s="61"/>
      <c r="O125" s="60"/>
      <c r="P125" s="31"/>
      <c r="Q125" s="61"/>
      <c r="R125" s="60"/>
      <c r="S125" s="31"/>
      <c r="T125" s="61"/>
      <c r="U125" s="60"/>
      <c r="V125" s="31"/>
      <c r="W125" s="61"/>
      <c r="X125" s="60"/>
      <c r="Y125" s="31"/>
      <c r="Z125" s="61"/>
      <c r="AA125" s="60"/>
      <c r="AB125" s="31"/>
      <c r="AC125" s="61"/>
      <c r="AD125" s="60"/>
      <c r="AE125" s="31"/>
      <c r="AF125" s="61"/>
      <c r="AG125" s="60"/>
      <c r="AH125" s="31"/>
      <c r="AI125" s="61"/>
      <c r="AJ125" s="60"/>
      <c r="AK125" s="31"/>
      <c r="AL125" s="61"/>
      <c r="AM125" s="60"/>
      <c r="AN125" s="31"/>
      <c r="AO125" s="61"/>
      <c r="AP125" s="60"/>
      <c r="AQ125" s="31"/>
      <c r="AR125" s="61"/>
      <c r="AS125" s="60"/>
      <c r="AT125" s="31"/>
      <c r="AU125" s="61"/>
    </row>
    <row r="126" ht="15.75" customHeight="1">
      <c r="A126" s="78" t="s">
        <v>352</v>
      </c>
      <c r="B126" s="78" t="s">
        <v>353</v>
      </c>
      <c r="C126" s="88" t="str">
        <f t="shared" si="4"/>
        <v>#REF!</v>
      </c>
      <c r="D126" s="89" t="s">
        <v>347</v>
      </c>
      <c r="E126" s="51" t="str">
        <f t="shared" si="5"/>
        <v>#REF!</v>
      </c>
      <c r="F126" s="90">
        <v>1.0</v>
      </c>
      <c r="G126" s="51">
        <v>6000.0</v>
      </c>
      <c r="H126" s="51">
        <f>'PAINEL DE CONTROLE'!$D$5</f>
        <v>13697</v>
      </c>
      <c r="I126" s="51">
        <v>100800.0</v>
      </c>
      <c r="J126" s="51">
        <f t="shared" si="15"/>
        <v>106800</v>
      </c>
      <c r="K126" s="54">
        <f t="shared" si="14"/>
        <v>93103</v>
      </c>
      <c r="L126" s="60"/>
      <c r="M126" s="31"/>
      <c r="N126" s="61"/>
      <c r="O126" s="60"/>
      <c r="P126" s="31"/>
      <c r="Q126" s="61"/>
      <c r="R126" s="60"/>
      <c r="S126" s="31"/>
      <c r="T126" s="61"/>
      <c r="U126" s="60"/>
      <c r="V126" s="31"/>
      <c r="W126" s="61"/>
      <c r="X126" s="60"/>
      <c r="Y126" s="31"/>
      <c r="Z126" s="61"/>
      <c r="AA126" s="60"/>
      <c r="AB126" s="31"/>
      <c r="AC126" s="61"/>
      <c r="AD126" s="60"/>
      <c r="AE126" s="31"/>
      <c r="AF126" s="61"/>
      <c r="AG126" s="60"/>
      <c r="AH126" s="31"/>
      <c r="AI126" s="61"/>
      <c r="AJ126" s="60"/>
      <c r="AK126" s="31"/>
      <c r="AL126" s="61"/>
      <c r="AM126" s="60"/>
      <c r="AN126" s="31"/>
      <c r="AO126" s="61"/>
      <c r="AP126" s="60"/>
      <c r="AQ126" s="31"/>
      <c r="AR126" s="61"/>
      <c r="AS126" s="60"/>
      <c r="AT126" s="31"/>
      <c r="AU126" s="61"/>
    </row>
    <row r="127" ht="15.75" customHeight="1">
      <c r="A127" s="73" t="s">
        <v>354</v>
      </c>
      <c r="B127" s="95"/>
      <c r="C127" s="75" t="str">
        <f t="shared" si="4"/>
        <v>#REF!</v>
      </c>
      <c r="D127" s="74" t="s">
        <v>355</v>
      </c>
      <c r="E127" s="57" t="str">
        <f t="shared" si="5"/>
        <v>#REF!</v>
      </c>
      <c r="F127" s="58">
        <v>1.0</v>
      </c>
      <c r="G127" s="57" t="s">
        <v>113</v>
      </c>
      <c r="H127" s="57">
        <f>'PAINEL DE CONTROLE'!$D$5</f>
        <v>13697</v>
      </c>
      <c r="I127" s="57"/>
      <c r="J127" s="57"/>
      <c r="K127" s="54">
        <f t="shared" si="14"/>
        <v>-13697</v>
      </c>
      <c r="L127" s="92"/>
      <c r="M127" s="93"/>
      <c r="N127" s="94"/>
      <c r="O127" s="92"/>
      <c r="P127" s="93"/>
      <c r="Q127" s="94"/>
      <c r="R127" s="92"/>
      <c r="S127" s="93"/>
      <c r="T127" s="94"/>
      <c r="U127" s="92"/>
      <c r="V127" s="93"/>
      <c r="W127" s="94"/>
      <c r="X127" s="92"/>
      <c r="Y127" s="93"/>
      <c r="Z127" s="94"/>
      <c r="AA127" s="92"/>
      <c r="AB127" s="93"/>
      <c r="AC127" s="94"/>
      <c r="AD127" s="92"/>
      <c r="AE127" s="93"/>
      <c r="AF127" s="94"/>
      <c r="AG127" s="92"/>
      <c r="AH127" s="93"/>
      <c r="AI127" s="94"/>
      <c r="AJ127" s="92"/>
      <c r="AK127" s="93"/>
      <c r="AL127" s="94"/>
      <c r="AM127" s="92"/>
      <c r="AN127" s="93"/>
      <c r="AO127" s="94"/>
      <c r="AP127" s="92"/>
      <c r="AQ127" s="93"/>
      <c r="AR127" s="94"/>
      <c r="AS127" s="92"/>
      <c r="AT127" s="93"/>
      <c r="AU127" s="94"/>
    </row>
    <row r="128" ht="15.75" customHeight="1">
      <c r="A128" s="78" t="s">
        <v>356</v>
      </c>
      <c r="B128" s="95"/>
      <c r="C128" s="88" t="str">
        <f t="shared" si="4"/>
        <v>#REF!</v>
      </c>
      <c r="D128" s="89" t="s">
        <v>357</v>
      </c>
      <c r="E128" s="51" t="str">
        <f t="shared" si="5"/>
        <v>#REF!</v>
      </c>
      <c r="F128" s="90">
        <v>1.0</v>
      </c>
      <c r="G128" s="51" t="s">
        <v>113</v>
      </c>
      <c r="H128" s="51">
        <f>'PAINEL DE CONTROLE'!$D$5</f>
        <v>13697</v>
      </c>
      <c r="I128" s="51"/>
      <c r="J128" s="51" t="str">
        <f t="shared" ref="J128:J134" si="16">SUM(I128+G128)</f>
        <v>#VALUE!</v>
      </c>
      <c r="K128" s="54" t="str">
        <f t="shared" si="14"/>
        <v>#VALUE!</v>
      </c>
      <c r="L128" s="60"/>
      <c r="M128" s="31"/>
      <c r="N128" s="61"/>
      <c r="O128" s="60"/>
      <c r="P128" s="31"/>
      <c r="Q128" s="61"/>
      <c r="R128" s="60"/>
      <c r="S128" s="31"/>
      <c r="T128" s="61"/>
      <c r="U128" s="60"/>
      <c r="V128" s="31"/>
      <c r="W128" s="61"/>
      <c r="X128" s="60"/>
      <c r="Y128" s="31"/>
      <c r="Z128" s="61"/>
      <c r="AA128" s="60"/>
      <c r="AB128" s="31"/>
      <c r="AC128" s="61"/>
      <c r="AD128" s="60"/>
      <c r="AE128" s="31"/>
      <c r="AF128" s="61"/>
      <c r="AG128" s="60"/>
      <c r="AH128" s="31"/>
      <c r="AI128" s="61"/>
      <c r="AJ128" s="60"/>
      <c r="AK128" s="31"/>
      <c r="AL128" s="61"/>
      <c r="AM128" s="60"/>
      <c r="AN128" s="31"/>
      <c r="AO128" s="61"/>
      <c r="AP128" s="60"/>
      <c r="AQ128" s="31"/>
      <c r="AR128" s="61"/>
      <c r="AS128" s="60"/>
      <c r="AT128" s="31"/>
      <c r="AU128" s="61"/>
    </row>
    <row r="129" ht="15.75" customHeight="1">
      <c r="A129" s="73" t="s">
        <v>358</v>
      </c>
      <c r="B129" s="73" t="s">
        <v>359</v>
      </c>
      <c r="C129" s="75" t="str">
        <f t="shared" si="4"/>
        <v>#REF!</v>
      </c>
      <c r="D129" s="74" t="s">
        <v>360</v>
      </c>
      <c r="E129" s="57" t="str">
        <f t="shared" si="5"/>
        <v>#REF!</v>
      </c>
      <c r="F129" s="58">
        <v>1.0</v>
      </c>
      <c r="G129" s="57">
        <v>6000.0</v>
      </c>
      <c r="H129" s="57">
        <f>'PAINEL DE CONTROLE'!$D$5</f>
        <v>13697</v>
      </c>
      <c r="I129" s="57">
        <v>100800.0</v>
      </c>
      <c r="J129" s="57">
        <f t="shared" si="16"/>
        <v>106800</v>
      </c>
      <c r="K129" s="54">
        <f t="shared" si="14"/>
        <v>93103</v>
      </c>
      <c r="L129" s="60"/>
      <c r="M129" s="31"/>
      <c r="N129" s="61"/>
      <c r="O129" s="60"/>
      <c r="P129" s="31"/>
      <c r="Q129" s="61"/>
      <c r="R129" s="60"/>
      <c r="S129" s="31"/>
      <c r="T129" s="61"/>
      <c r="U129" s="60"/>
      <c r="V129" s="31"/>
      <c r="W129" s="61"/>
      <c r="X129" s="60"/>
      <c r="Y129" s="31"/>
      <c r="Z129" s="61"/>
      <c r="AA129" s="60"/>
      <c r="AB129" s="31"/>
      <c r="AC129" s="61"/>
      <c r="AD129" s="60"/>
      <c r="AE129" s="31"/>
      <c r="AF129" s="61"/>
      <c r="AG129" s="60"/>
      <c r="AH129" s="31"/>
      <c r="AI129" s="61"/>
      <c r="AJ129" s="60"/>
      <c r="AK129" s="31"/>
      <c r="AL129" s="61"/>
      <c r="AM129" s="60"/>
      <c r="AN129" s="31"/>
      <c r="AO129" s="61"/>
      <c r="AP129" s="60"/>
      <c r="AQ129" s="31"/>
      <c r="AR129" s="61"/>
      <c r="AS129" s="60"/>
      <c r="AT129" s="31"/>
      <c r="AU129" s="61"/>
    </row>
    <row r="130" ht="15.75" customHeight="1">
      <c r="A130" s="78" t="s">
        <v>361</v>
      </c>
      <c r="B130" s="95"/>
      <c r="C130" s="88" t="str">
        <f t="shared" si="4"/>
        <v>#REF!</v>
      </c>
      <c r="D130" s="89" t="s">
        <v>362</v>
      </c>
      <c r="E130" s="51" t="str">
        <f t="shared" si="5"/>
        <v>#REF!</v>
      </c>
      <c r="F130" s="90">
        <v>1.0</v>
      </c>
      <c r="G130" s="51" t="s">
        <v>113</v>
      </c>
      <c r="H130" s="51">
        <f>'PAINEL DE CONTROLE'!$D$5</f>
        <v>13697</v>
      </c>
      <c r="I130" s="51"/>
      <c r="J130" s="51" t="str">
        <f t="shared" si="16"/>
        <v>#VALUE!</v>
      </c>
      <c r="K130" s="54" t="str">
        <f t="shared" si="14"/>
        <v>#VALUE!</v>
      </c>
      <c r="L130" s="60"/>
      <c r="M130" s="31"/>
      <c r="N130" s="61"/>
      <c r="O130" s="60"/>
      <c r="P130" s="31"/>
      <c r="Q130" s="61"/>
      <c r="R130" s="60"/>
      <c r="S130" s="31"/>
      <c r="T130" s="61"/>
      <c r="U130" s="60"/>
      <c r="V130" s="31"/>
      <c r="W130" s="61"/>
      <c r="X130" s="60"/>
      <c r="Y130" s="31"/>
      <c r="Z130" s="61"/>
      <c r="AA130" s="60"/>
      <c r="AB130" s="31"/>
      <c r="AC130" s="61"/>
      <c r="AD130" s="60"/>
      <c r="AE130" s="31"/>
      <c r="AF130" s="61"/>
      <c r="AG130" s="60"/>
      <c r="AH130" s="31"/>
      <c r="AI130" s="61"/>
      <c r="AJ130" s="60"/>
      <c r="AK130" s="31"/>
      <c r="AL130" s="61"/>
      <c r="AM130" s="60"/>
      <c r="AN130" s="31"/>
      <c r="AO130" s="61"/>
      <c r="AP130" s="60"/>
      <c r="AQ130" s="31"/>
      <c r="AR130" s="61"/>
      <c r="AS130" s="60"/>
      <c r="AT130" s="31"/>
      <c r="AU130" s="61"/>
    </row>
    <row r="131" ht="36.75" customHeight="1">
      <c r="A131" s="72" t="s">
        <v>363</v>
      </c>
      <c r="B131" s="95"/>
      <c r="C131" s="75" t="str">
        <f t="shared" si="4"/>
        <v>#REF!</v>
      </c>
      <c r="D131" s="74" t="s">
        <v>364</v>
      </c>
      <c r="E131" s="57" t="str">
        <f t="shared" si="5"/>
        <v>#REF!</v>
      </c>
      <c r="F131" s="58">
        <v>152.0</v>
      </c>
      <c r="G131" s="57" t="s">
        <v>113</v>
      </c>
      <c r="H131" s="57">
        <f>'PAINEL DE CONTROLE'!$D$5</f>
        <v>13697</v>
      </c>
      <c r="I131" s="57"/>
      <c r="J131" s="57" t="str">
        <f t="shared" si="16"/>
        <v>#VALUE!</v>
      </c>
      <c r="K131" s="54" t="str">
        <f t="shared" si="14"/>
        <v>#VALUE!</v>
      </c>
      <c r="L131" s="60"/>
      <c r="M131" s="31"/>
      <c r="N131" s="61"/>
      <c r="O131" s="60"/>
      <c r="P131" s="31"/>
      <c r="Q131" s="61"/>
      <c r="R131" s="60"/>
      <c r="S131" s="31"/>
      <c r="T131" s="61"/>
      <c r="U131" s="60"/>
      <c r="V131" s="31"/>
      <c r="W131" s="61"/>
      <c r="X131" s="60"/>
      <c r="Y131" s="31"/>
      <c r="Z131" s="61"/>
      <c r="AA131" s="60"/>
      <c r="AB131" s="31"/>
      <c r="AC131" s="61"/>
      <c r="AD131" s="60"/>
      <c r="AE131" s="31"/>
      <c r="AF131" s="61"/>
      <c r="AG131" s="60"/>
      <c r="AH131" s="31"/>
      <c r="AI131" s="61"/>
      <c r="AJ131" s="60"/>
      <c r="AK131" s="31"/>
      <c r="AL131" s="61"/>
      <c r="AM131" s="60"/>
      <c r="AN131" s="31"/>
      <c r="AO131" s="61"/>
      <c r="AP131" s="60"/>
      <c r="AQ131" s="31"/>
      <c r="AR131" s="61"/>
      <c r="AS131" s="60"/>
      <c r="AT131" s="31"/>
      <c r="AU131" s="61"/>
    </row>
    <row r="132" ht="36.75" customHeight="1">
      <c r="A132" s="62"/>
      <c r="B132" s="95"/>
      <c r="C132" s="75" t="str">
        <f t="shared" si="4"/>
        <v>#REF!</v>
      </c>
      <c r="D132" s="74" t="s">
        <v>365</v>
      </c>
      <c r="E132" s="57" t="str">
        <f t="shared" si="5"/>
        <v>#REF!</v>
      </c>
      <c r="F132" s="58">
        <v>1.0</v>
      </c>
      <c r="G132" s="57" t="s">
        <v>113</v>
      </c>
      <c r="H132" s="57">
        <f>'PAINEL DE CONTROLE'!$D$5</f>
        <v>13697</v>
      </c>
      <c r="I132" s="57"/>
      <c r="J132" s="57" t="str">
        <f t="shared" si="16"/>
        <v>#VALUE!</v>
      </c>
      <c r="K132" s="54" t="str">
        <f t="shared" si="14"/>
        <v>#VALUE!</v>
      </c>
      <c r="L132" s="60"/>
      <c r="M132" s="31"/>
      <c r="N132" s="61"/>
      <c r="O132" s="60"/>
      <c r="P132" s="31"/>
      <c r="Q132" s="61"/>
      <c r="R132" s="60"/>
      <c r="S132" s="31"/>
      <c r="T132" s="61"/>
      <c r="U132" s="60"/>
      <c r="V132" s="31"/>
      <c r="W132" s="61"/>
      <c r="X132" s="60"/>
      <c r="Y132" s="31"/>
      <c r="Z132" s="61"/>
      <c r="AA132" s="60"/>
      <c r="AB132" s="31"/>
      <c r="AC132" s="61"/>
      <c r="AD132" s="60"/>
      <c r="AE132" s="31"/>
      <c r="AF132" s="61"/>
      <c r="AG132" s="60"/>
      <c r="AH132" s="31"/>
      <c r="AI132" s="61"/>
      <c r="AJ132" s="60"/>
      <c r="AK132" s="31"/>
      <c r="AL132" s="61"/>
      <c r="AM132" s="60"/>
      <c r="AN132" s="31"/>
      <c r="AO132" s="61"/>
      <c r="AP132" s="60"/>
      <c r="AQ132" s="31"/>
      <c r="AR132" s="61"/>
      <c r="AS132" s="60"/>
      <c r="AT132" s="31"/>
      <c r="AU132" s="61"/>
    </row>
    <row r="133" ht="36.75" customHeight="1">
      <c r="A133" s="63"/>
      <c r="B133" s="95"/>
      <c r="C133" s="75" t="str">
        <f t="shared" si="4"/>
        <v>#REF!</v>
      </c>
      <c r="D133" s="74" t="s">
        <v>366</v>
      </c>
      <c r="E133" s="57" t="str">
        <f t="shared" si="5"/>
        <v>#REF!</v>
      </c>
      <c r="F133" s="58"/>
      <c r="G133" s="57" t="s">
        <v>113</v>
      </c>
      <c r="H133" s="57">
        <f>'PAINEL DE CONTROLE'!$D$5</f>
        <v>13697</v>
      </c>
      <c r="I133" s="57"/>
      <c r="J133" s="57" t="str">
        <f t="shared" si="16"/>
        <v>#VALUE!</v>
      </c>
      <c r="K133" s="54" t="str">
        <f t="shared" si="14"/>
        <v>#VALUE!</v>
      </c>
      <c r="L133" s="60"/>
      <c r="M133" s="31"/>
      <c r="N133" s="61"/>
      <c r="O133" s="60"/>
      <c r="P133" s="31"/>
      <c r="Q133" s="61"/>
      <c r="R133" s="60"/>
      <c r="S133" s="31"/>
      <c r="T133" s="61"/>
      <c r="U133" s="60"/>
      <c r="V133" s="31"/>
      <c r="W133" s="61"/>
      <c r="X133" s="60"/>
      <c r="Y133" s="31"/>
      <c r="Z133" s="61"/>
      <c r="AA133" s="60"/>
      <c r="AB133" s="31"/>
      <c r="AC133" s="61"/>
      <c r="AD133" s="60"/>
      <c r="AE133" s="31"/>
      <c r="AF133" s="61"/>
      <c r="AG133" s="60"/>
      <c r="AH133" s="31"/>
      <c r="AI133" s="61"/>
      <c r="AJ133" s="60"/>
      <c r="AK133" s="31"/>
      <c r="AL133" s="61"/>
      <c r="AM133" s="60"/>
      <c r="AN133" s="31"/>
      <c r="AO133" s="61"/>
      <c r="AP133" s="60"/>
      <c r="AQ133" s="31"/>
      <c r="AR133" s="61"/>
      <c r="AS133" s="60"/>
      <c r="AT133" s="31"/>
      <c r="AU133" s="61"/>
    </row>
    <row r="134" ht="15.75" customHeight="1">
      <c r="A134" s="105" t="s">
        <v>367</v>
      </c>
      <c r="B134" s="106" t="s">
        <v>368</v>
      </c>
      <c r="C134" s="88" t="str">
        <f t="shared" si="4"/>
        <v>#REF!</v>
      </c>
      <c r="D134" s="89" t="s">
        <v>369</v>
      </c>
      <c r="E134" s="51" t="str">
        <f t="shared" si="5"/>
        <v>#REF!</v>
      </c>
      <c r="F134" s="90">
        <v>23.0</v>
      </c>
      <c r="G134" s="51">
        <v>2500.0</v>
      </c>
      <c r="H134" s="51">
        <f>'PAINEL DE CONTROLE'!$D$5</f>
        <v>13697</v>
      </c>
      <c r="I134" s="51">
        <v>100800.0</v>
      </c>
      <c r="J134" s="51">
        <f t="shared" si="16"/>
        <v>103300</v>
      </c>
      <c r="K134" s="54">
        <f t="shared" si="14"/>
        <v>89603</v>
      </c>
      <c r="L134" s="107"/>
      <c r="M134" s="108"/>
      <c r="N134" s="109"/>
      <c r="O134" s="107"/>
      <c r="P134" s="108"/>
      <c r="Q134" s="109"/>
      <c r="R134" s="107"/>
      <c r="S134" s="108"/>
      <c r="T134" s="109"/>
      <c r="U134" s="107"/>
      <c r="V134" s="108"/>
      <c r="W134" s="109"/>
      <c r="X134" s="107"/>
      <c r="Y134" s="108"/>
      <c r="Z134" s="109"/>
      <c r="AA134" s="107"/>
      <c r="AB134" s="108"/>
      <c r="AC134" s="109"/>
      <c r="AD134" s="107"/>
      <c r="AE134" s="108"/>
      <c r="AF134" s="109"/>
      <c r="AG134" s="107"/>
      <c r="AH134" s="108"/>
      <c r="AI134" s="109"/>
      <c r="AJ134" s="107"/>
      <c r="AK134" s="108"/>
      <c r="AL134" s="109"/>
      <c r="AM134" s="107"/>
      <c r="AN134" s="108"/>
      <c r="AO134" s="109"/>
      <c r="AP134" s="107"/>
      <c r="AQ134" s="108"/>
      <c r="AR134" s="109"/>
      <c r="AS134" s="107"/>
      <c r="AT134" s="108"/>
      <c r="AU134" s="109"/>
    </row>
    <row r="135" ht="36.75" customHeight="1">
      <c r="A135" s="110" t="s">
        <v>370</v>
      </c>
      <c r="B135" s="111"/>
      <c r="C135" s="75" t="str">
        <f t="shared" si="4"/>
        <v>#REF!</v>
      </c>
      <c r="D135" s="74" t="s">
        <v>371</v>
      </c>
      <c r="E135" s="57" t="str">
        <f t="shared" si="5"/>
        <v>#REF!</v>
      </c>
      <c r="F135" s="58">
        <v>1.0</v>
      </c>
      <c r="G135" s="57" t="s">
        <v>113</v>
      </c>
      <c r="H135" s="57">
        <f>'PAINEL DE CONTROLE'!$D$5</f>
        <v>13697</v>
      </c>
      <c r="I135" s="57"/>
      <c r="J135" s="57"/>
      <c r="K135" s="54">
        <f t="shared" si="14"/>
        <v>-13697</v>
      </c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</row>
    <row r="136" ht="36.75" customHeight="1">
      <c r="A136" s="63"/>
      <c r="B136" s="111"/>
      <c r="C136" s="75" t="str">
        <f t="shared" si="4"/>
        <v>#REF!</v>
      </c>
      <c r="D136" s="74" t="s">
        <v>372</v>
      </c>
      <c r="E136" s="57" t="str">
        <f t="shared" si="5"/>
        <v>#REF!</v>
      </c>
      <c r="F136" s="58">
        <v>1.0</v>
      </c>
      <c r="G136" s="57" t="s">
        <v>113</v>
      </c>
      <c r="H136" s="57">
        <f>'PAINEL DE CONTROLE'!$D$5</f>
        <v>13697</v>
      </c>
      <c r="I136" s="57"/>
      <c r="J136" s="57"/>
      <c r="K136" s="54">
        <f t="shared" si="14"/>
        <v>-13697</v>
      </c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</row>
    <row r="137" ht="36.75" customHeight="1">
      <c r="A137" s="113" t="s">
        <v>373</v>
      </c>
      <c r="B137" s="111"/>
      <c r="C137" s="88" t="str">
        <f t="shared" si="4"/>
        <v>#REF!</v>
      </c>
      <c r="D137" s="89" t="s">
        <v>374</v>
      </c>
      <c r="E137" s="51" t="str">
        <f t="shared" si="5"/>
        <v>#REF!</v>
      </c>
      <c r="F137" s="90">
        <v>1.0</v>
      </c>
      <c r="G137" s="51" t="s">
        <v>113</v>
      </c>
      <c r="H137" s="51">
        <f>'PAINEL DE CONTROLE'!$D$5</f>
        <v>13697</v>
      </c>
      <c r="I137" s="51"/>
      <c r="J137" s="51"/>
      <c r="K137" s="54">
        <f t="shared" si="14"/>
        <v>-13697</v>
      </c>
    </row>
    <row r="138" ht="36.75" customHeight="1">
      <c r="A138" s="63"/>
      <c r="B138" s="111"/>
      <c r="C138" s="88" t="str">
        <f t="shared" si="4"/>
        <v>#REF!</v>
      </c>
      <c r="D138" s="89" t="s">
        <v>375</v>
      </c>
      <c r="E138" s="51" t="str">
        <f t="shared" si="5"/>
        <v>#REF!</v>
      </c>
      <c r="F138" s="90">
        <v>1.0</v>
      </c>
      <c r="G138" s="51" t="s">
        <v>113</v>
      </c>
      <c r="H138" s="51">
        <f>'PAINEL DE CONTROLE'!$D$5</f>
        <v>13697</v>
      </c>
      <c r="I138" s="51"/>
      <c r="J138" s="51"/>
      <c r="K138" s="54">
        <f t="shared" si="14"/>
        <v>-13697</v>
      </c>
    </row>
    <row r="139" ht="36.75" customHeight="1">
      <c r="A139" s="114" t="s">
        <v>376</v>
      </c>
      <c r="B139" s="111"/>
      <c r="C139" s="75" t="str">
        <f t="shared" si="4"/>
        <v>#REF!</v>
      </c>
      <c r="D139" s="74" t="s">
        <v>377</v>
      </c>
      <c r="E139" s="57" t="str">
        <f t="shared" si="5"/>
        <v>#REF!</v>
      </c>
      <c r="F139" s="58">
        <v>1.0</v>
      </c>
      <c r="G139" s="57" t="s">
        <v>113</v>
      </c>
      <c r="H139" s="57">
        <f>'PAINEL DE CONTROLE'!$D$5</f>
        <v>13697</v>
      </c>
      <c r="I139" s="57"/>
      <c r="J139" s="57"/>
      <c r="K139" s="54">
        <f t="shared" si="14"/>
        <v>-13697</v>
      </c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</row>
    <row r="140" ht="15.75" customHeight="1">
      <c r="A140" s="105" t="s">
        <v>378</v>
      </c>
      <c r="B140" s="111"/>
      <c r="C140" s="88" t="str">
        <f t="shared" si="4"/>
        <v>#REF!</v>
      </c>
      <c r="D140" s="89" t="s">
        <v>379</v>
      </c>
      <c r="E140" s="51" t="str">
        <f t="shared" si="5"/>
        <v>#REF!</v>
      </c>
      <c r="F140" s="90">
        <v>1.0</v>
      </c>
      <c r="G140" s="51" t="s">
        <v>113</v>
      </c>
      <c r="H140" s="51">
        <f>'PAINEL DE CONTROLE'!$D$5</f>
        <v>13697</v>
      </c>
      <c r="I140" s="51"/>
      <c r="J140" s="51"/>
      <c r="K140" s="54">
        <f t="shared" si="14"/>
        <v>-13697</v>
      </c>
    </row>
    <row r="141" ht="15.75" customHeight="1">
      <c r="A141" s="114" t="s">
        <v>380</v>
      </c>
      <c r="B141" s="111"/>
      <c r="C141" s="75" t="str">
        <f t="shared" si="4"/>
        <v>#REF!</v>
      </c>
      <c r="D141" s="74" t="s">
        <v>381</v>
      </c>
      <c r="E141" s="57" t="str">
        <f t="shared" si="5"/>
        <v>#REF!</v>
      </c>
      <c r="F141" s="58">
        <v>1.0</v>
      </c>
      <c r="G141" s="57" t="s">
        <v>113</v>
      </c>
      <c r="H141" s="57">
        <f>'PAINEL DE CONTROLE'!$D$5</f>
        <v>13697</v>
      </c>
      <c r="I141" s="57"/>
      <c r="J141" s="57"/>
      <c r="K141" s="54">
        <f t="shared" si="14"/>
        <v>-13697</v>
      </c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</row>
    <row r="142" ht="15.75" customHeight="1">
      <c r="A142" s="105" t="s">
        <v>382</v>
      </c>
      <c r="B142" s="111"/>
      <c r="C142" s="88" t="str">
        <f t="shared" si="4"/>
        <v>#REF!</v>
      </c>
      <c r="D142" s="89"/>
      <c r="E142" s="51" t="str">
        <f t="shared" si="5"/>
        <v>#REF!</v>
      </c>
      <c r="F142" s="90"/>
      <c r="G142" s="51" t="s">
        <v>113</v>
      </c>
      <c r="H142" s="51">
        <f>'PAINEL DE CONTROLE'!$D$5</f>
        <v>13697</v>
      </c>
      <c r="I142" s="51"/>
      <c r="J142" s="51"/>
      <c r="K142" s="54">
        <f t="shared" si="14"/>
        <v>-13697</v>
      </c>
    </row>
    <row r="143" ht="15.75" customHeight="1">
      <c r="A143" s="114" t="s">
        <v>383</v>
      </c>
      <c r="B143" s="111"/>
      <c r="C143" s="75" t="str">
        <f t="shared" si="4"/>
        <v>#REF!</v>
      </c>
      <c r="D143" s="74"/>
      <c r="E143" s="57" t="str">
        <f t="shared" si="5"/>
        <v>#REF!</v>
      </c>
      <c r="F143" s="58"/>
      <c r="G143" s="57" t="s">
        <v>113</v>
      </c>
      <c r="H143" s="57">
        <f>'PAINEL DE CONTROLE'!$D$5</f>
        <v>13697</v>
      </c>
      <c r="I143" s="57"/>
      <c r="J143" s="57"/>
      <c r="K143" s="54">
        <f t="shared" si="14"/>
        <v>-13697</v>
      </c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</row>
    <row r="144" ht="15.75" customHeight="1">
      <c r="A144" s="105" t="s">
        <v>384</v>
      </c>
      <c r="B144" s="111"/>
      <c r="C144" s="88" t="str">
        <f t="shared" si="4"/>
        <v>#REF!</v>
      </c>
      <c r="D144" s="89"/>
      <c r="E144" s="51" t="str">
        <f t="shared" si="5"/>
        <v>#REF!</v>
      </c>
      <c r="F144" s="90"/>
      <c r="G144" s="51" t="s">
        <v>113</v>
      </c>
      <c r="H144" s="51">
        <f>'PAINEL DE CONTROLE'!$D$5</f>
        <v>13697</v>
      </c>
      <c r="I144" s="51"/>
      <c r="J144" s="51"/>
      <c r="K144" s="54">
        <f t="shared" si="14"/>
        <v>-13697</v>
      </c>
    </row>
    <row r="145" ht="15.75" customHeight="1">
      <c r="A145" s="114" t="s">
        <v>385</v>
      </c>
      <c r="B145" s="111"/>
      <c r="C145" s="75" t="str">
        <f t="shared" si="4"/>
        <v>#REF!</v>
      </c>
      <c r="D145" s="74"/>
      <c r="E145" s="57" t="str">
        <f t="shared" si="5"/>
        <v>#REF!</v>
      </c>
      <c r="F145" s="58"/>
      <c r="G145" s="57" t="s">
        <v>113</v>
      </c>
      <c r="H145" s="57">
        <f>'PAINEL DE CONTROLE'!$D$5</f>
        <v>13697</v>
      </c>
      <c r="I145" s="57"/>
      <c r="J145" s="57"/>
      <c r="K145" s="54">
        <f t="shared" si="14"/>
        <v>-13697</v>
      </c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</row>
    <row r="146" ht="15.75" customHeight="1">
      <c r="A146" s="105" t="s">
        <v>386</v>
      </c>
      <c r="B146" s="111"/>
      <c r="C146" s="88" t="str">
        <f t="shared" si="4"/>
        <v>#REF!</v>
      </c>
      <c r="D146" s="89"/>
      <c r="E146" s="51" t="str">
        <f t="shared" si="5"/>
        <v>#REF!</v>
      </c>
      <c r="F146" s="90"/>
      <c r="G146" s="51" t="s">
        <v>113</v>
      </c>
      <c r="H146" s="51">
        <f>'PAINEL DE CONTROLE'!$D$5</f>
        <v>13697</v>
      </c>
      <c r="I146" s="51"/>
      <c r="J146" s="51"/>
      <c r="K146" s="54">
        <f t="shared" si="14"/>
        <v>-13697</v>
      </c>
    </row>
    <row r="147" ht="53.25" customHeight="1">
      <c r="A147" s="110" t="s">
        <v>387</v>
      </c>
      <c r="B147" s="111"/>
      <c r="C147" s="75" t="str">
        <f t="shared" si="4"/>
        <v>#REF!</v>
      </c>
      <c r="D147" s="74" t="s">
        <v>388</v>
      </c>
      <c r="E147" s="57" t="str">
        <f t="shared" si="5"/>
        <v>#REF!</v>
      </c>
      <c r="F147" s="58">
        <v>1.0</v>
      </c>
      <c r="G147" s="57" t="s">
        <v>113</v>
      </c>
      <c r="H147" s="57">
        <f>'PAINEL DE CONTROLE'!$D$5</f>
        <v>13697</v>
      </c>
      <c r="I147" s="57"/>
      <c r="J147" s="57"/>
      <c r="K147" s="54">
        <f t="shared" si="14"/>
        <v>-13697</v>
      </c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</row>
    <row r="148" ht="53.25" customHeight="1">
      <c r="A148" s="63"/>
      <c r="B148" s="114" t="s">
        <v>389</v>
      </c>
      <c r="C148" s="75" t="str">
        <f t="shared" si="4"/>
        <v>#REF!</v>
      </c>
      <c r="D148" s="74" t="s">
        <v>390</v>
      </c>
      <c r="E148" s="57" t="str">
        <f t="shared" si="5"/>
        <v>#REF!</v>
      </c>
      <c r="F148" s="58">
        <v>2.0</v>
      </c>
      <c r="G148" s="57">
        <v>6000.0</v>
      </c>
      <c r="H148" s="57">
        <f>'PAINEL DE CONTROLE'!$D$5</f>
        <v>13697</v>
      </c>
      <c r="I148" s="57"/>
      <c r="J148" s="57">
        <f>SUM(I148+G148)</f>
        <v>6000</v>
      </c>
      <c r="K148" s="54">
        <f t="shared" si="14"/>
        <v>-7697</v>
      </c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</row>
    <row r="149" ht="15.75" customHeight="1">
      <c r="B149" s="115" t="s">
        <v>391</v>
      </c>
    </row>
    <row r="150" ht="35.25" customHeight="1">
      <c r="A150" s="116" t="s">
        <v>392</v>
      </c>
      <c r="B150" s="117"/>
      <c r="C150" s="117"/>
      <c r="D150" s="117"/>
      <c r="E150" s="117"/>
      <c r="F150" s="117"/>
      <c r="G150" s="117"/>
      <c r="H150" s="117"/>
      <c r="I150" s="117"/>
      <c r="J150" s="117"/>
      <c r="K150" s="118"/>
    </row>
    <row r="151" ht="41.25" customHeight="1">
      <c r="A151" s="42" t="s">
        <v>393</v>
      </c>
      <c r="B151" s="46"/>
      <c r="C151" s="119" t="s">
        <v>394</v>
      </c>
      <c r="D151" s="2"/>
      <c r="E151" s="3"/>
      <c r="F151" s="42" t="s">
        <v>395</v>
      </c>
      <c r="G151" s="42" t="s">
        <v>396</v>
      </c>
      <c r="H151" s="42" t="s">
        <v>397</v>
      </c>
      <c r="I151" s="42" t="s">
        <v>398</v>
      </c>
      <c r="J151" s="42" t="s">
        <v>399</v>
      </c>
      <c r="K151" s="42" t="s">
        <v>400</v>
      </c>
    </row>
    <row r="152" ht="38.25" customHeight="1">
      <c r="A152" s="105" t="s">
        <v>401</v>
      </c>
      <c r="B152" s="113"/>
      <c r="C152" s="120" t="s">
        <v>402</v>
      </c>
      <c r="D152" s="2"/>
      <c r="E152" s="3"/>
      <c r="F152" s="52"/>
      <c r="G152" s="50">
        <v>1500.0</v>
      </c>
      <c r="H152" s="50">
        <f>'PAINEL DE CONTROLE'!$D$5</f>
        <v>13697</v>
      </c>
      <c r="I152" s="50"/>
      <c r="J152" s="50">
        <f t="shared" ref="J152:J204" si="17">SUM(I152+G152)</f>
        <v>1500</v>
      </c>
      <c r="K152" s="54">
        <f t="shared" ref="K152:K204" si="18">SUM(J152-H152)</f>
        <v>-12197</v>
      </c>
    </row>
    <row r="153" ht="38.25" customHeight="1">
      <c r="A153" s="105" t="s">
        <v>403</v>
      </c>
      <c r="B153" s="62"/>
      <c r="C153" s="120" t="s">
        <v>402</v>
      </c>
      <c r="D153" s="2"/>
      <c r="E153" s="3"/>
      <c r="F153" s="52"/>
      <c r="G153" s="50">
        <v>1500.0</v>
      </c>
      <c r="H153" s="50">
        <f>'PAINEL DE CONTROLE'!$D$5</f>
        <v>13697</v>
      </c>
      <c r="I153" s="50"/>
      <c r="J153" s="50">
        <f t="shared" si="17"/>
        <v>1500</v>
      </c>
      <c r="K153" s="54">
        <f t="shared" si="18"/>
        <v>-12197</v>
      </c>
    </row>
    <row r="154" ht="38.25" customHeight="1">
      <c r="A154" s="105" t="s">
        <v>404</v>
      </c>
      <c r="B154" s="62"/>
      <c r="C154" s="120" t="s">
        <v>405</v>
      </c>
      <c r="D154" s="2"/>
      <c r="E154" s="3"/>
      <c r="F154" s="52"/>
      <c r="G154" s="50">
        <v>1500.0</v>
      </c>
      <c r="H154" s="50">
        <f>'PAINEL DE CONTROLE'!$D$5</f>
        <v>13697</v>
      </c>
      <c r="I154" s="50"/>
      <c r="J154" s="50">
        <f t="shared" si="17"/>
        <v>1500</v>
      </c>
      <c r="K154" s="54">
        <f t="shared" si="18"/>
        <v>-12197</v>
      </c>
    </row>
    <row r="155" ht="38.25" customHeight="1">
      <c r="A155" s="105" t="s">
        <v>406</v>
      </c>
      <c r="B155" s="63"/>
      <c r="C155" s="120" t="s">
        <v>407</v>
      </c>
      <c r="D155" s="2"/>
      <c r="E155" s="3"/>
      <c r="F155" s="52"/>
      <c r="G155" s="50">
        <v>1500.0</v>
      </c>
      <c r="H155" s="50">
        <f>'PAINEL DE CONTROLE'!$D$5</f>
        <v>13697</v>
      </c>
      <c r="I155" s="50"/>
      <c r="J155" s="50">
        <f t="shared" si="17"/>
        <v>1500</v>
      </c>
      <c r="K155" s="54">
        <f t="shared" si="18"/>
        <v>-12197</v>
      </c>
    </row>
    <row r="156" ht="38.25" customHeight="1">
      <c r="A156" s="105" t="s">
        <v>408</v>
      </c>
      <c r="B156" s="113"/>
      <c r="C156" s="120" t="s">
        <v>409</v>
      </c>
      <c r="D156" s="2"/>
      <c r="E156" s="3"/>
      <c r="F156" s="52"/>
      <c r="G156" s="50">
        <v>2000.0</v>
      </c>
      <c r="H156" s="50">
        <f>'PAINEL DE CONTROLE'!$D$5</f>
        <v>13697</v>
      </c>
      <c r="I156" s="50"/>
      <c r="J156" s="50">
        <f t="shared" si="17"/>
        <v>2000</v>
      </c>
      <c r="K156" s="54">
        <f t="shared" si="18"/>
        <v>-11697</v>
      </c>
    </row>
    <row r="157" ht="38.25" customHeight="1">
      <c r="A157" s="105" t="s">
        <v>410</v>
      </c>
      <c r="B157" s="62"/>
      <c r="C157" s="120" t="s">
        <v>411</v>
      </c>
      <c r="D157" s="2"/>
      <c r="E157" s="3"/>
      <c r="F157" s="52"/>
      <c r="G157" s="50">
        <v>2000.0</v>
      </c>
      <c r="H157" s="50">
        <f>'PAINEL DE CONTROLE'!$D$5</f>
        <v>13697</v>
      </c>
      <c r="I157" s="50"/>
      <c r="J157" s="50">
        <f t="shared" si="17"/>
        <v>2000</v>
      </c>
      <c r="K157" s="54">
        <f t="shared" si="18"/>
        <v>-11697</v>
      </c>
    </row>
    <row r="158" ht="38.25" customHeight="1">
      <c r="A158" s="105" t="s">
        <v>412</v>
      </c>
      <c r="B158" s="62"/>
      <c r="C158" s="120" t="s">
        <v>413</v>
      </c>
      <c r="D158" s="2"/>
      <c r="E158" s="3"/>
      <c r="F158" s="52"/>
      <c r="G158" s="50">
        <v>2000.0</v>
      </c>
      <c r="H158" s="50">
        <f>'PAINEL DE CONTROLE'!$D$5</f>
        <v>13697</v>
      </c>
      <c r="I158" s="50"/>
      <c r="J158" s="50">
        <f t="shared" si="17"/>
        <v>2000</v>
      </c>
      <c r="K158" s="54">
        <f t="shared" si="18"/>
        <v>-11697</v>
      </c>
    </row>
    <row r="159" ht="38.25" customHeight="1">
      <c r="A159" s="105" t="s">
        <v>414</v>
      </c>
      <c r="B159" s="62"/>
      <c r="C159" s="120" t="s">
        <v>415</v>
      </c>
      <c r="D159" s="2"/>
      <c r="E159" s="3"/>
      <c r="F159" s="52"/>
      <c r="G159" s="50">
        <v>2000.0</v>
      </c>
      <c r="H159" s="50">
        <f>'PAINEL DE CONTROLE'!$D$5</f>
        <v>13697</v>
      </c>
      <c r="I159" s="50"/>
      <c r="J159" s="50">
        <f t="shared" si="17"/>
        <v>2000</v>
      </c>
      <c r="K159" s="54">
        <f t="shared" si="18"/>
        <v>-11697</v>
      </c>
    </row>
    <row r="160" ht="38.25" customHeight="1">
      <c r="A160" s="105" t="s">
        <v>416</v>
      </c>
      <c r="B160" s="62"/>
      <c r="C160" s="120" t="s">
        <v>417</v>
      </c>
      <c r="D160" s="2"/>
      <c r="E160" s="3"/>
      <c r="F160" s="52"/>
      <c r="G160" s="50">
        <v>2000.0</v>
      </c>
      <c r="H160" s="50">
        <f>'PAINEL DE CONTROLE'!$D$5</f>
        <v>13697</v>
      </c>
      <c r="I160" s="50"/>
      <c r="J160" s="50">
        <f t="shared" si="17"/>
        <v>2000</v>
      </c>
      <c r="K160" s="54">
        <f t="shared" si="18"/>
        <v>-11697</v>
      </c>
    </row>
    <row r="161" ht="38.25" customHeight="1">
      <c r="A161" s="105" t="s">
        <v>418</v>
      </c>
      <c r="B161" s="63"/>
      <c r="C161" s="120" t="s">
        <v>419</v>
      </c>
      <c r="D161" s="2"/>
      <c r="E161" s="3"/>
      <c r="F161" s="52"/>
      <c r="G161" s="50">
        <v>2000.0</v>
      </c>
      <c r="H161" s="50">
        <f>'PAINEL DE CONTROLE'!$D$5</f>
        <v>13697</v>
      </c>
      <c r="I161" s="50"/>
      <c r="J161" s="50">
        <f t="shared" si="17"/>
        <v>2000</v>
      </c>
      <c r="K161" s="54">
        <f t="shared" si="18"/>
        <v>-11697</v>
      </c>
    </row>
    <row r="162" ht="38.25" customHeight="1">
      <c r="A162" s="113" t="s">
        <v>420</v>
      </c>
      <c r="B162" s="121"/>
      <c r="C162" s="120" t="s">
        <v>421</v>
      </c>
      <c r="D162" s="2"/>
      <c r="E162" s="3"/>
      <c r="F162" s="52" t="s">
        <v>364</v>
      </c>
      <c r="G162" s="50">
        <v>3000.0</v>
      </c>
      <c r="H162" s="50">
        <f>'PAINEL DE CONTROLE'!$D$5</f>
        <v>13697</v>
      </c>
      <c r="I162" s="50"/>
      <c r="J162" s="50">
        <f t="shared" si="17"/>
        <v>3000</v>
      </c>
      <c r="K162" s="54">
        <f t="shared" si="18"/>
        <v>-10697</v>
      </c>
    </row>
    <row r="163" ht="38.25" customHeight="1">
      <c r="A163" s="63"/>
      <c r="B163" s="122"/>
      <c r="C163" s="120" t="s">
        <v>422</v>
      </c>
      <c r="D163" s="2"/>
      <c r="E163" s="3"/>
      <c r="F163" s="52" t="s">
        <v>365</v>
      </c>
      <c r="G163" s="50">
        <v>3000.0</v>
      </c>
      <c r="H163" s="50">
        <f>'PAINEL DE CONTROLE'!$D$5</f>
        <v>13697</v>
      </c>
      <c r="I163" s="50"/>
      <c r="J163" s="50">
        <f t="shared" si="17"/>
        <v>3000</v>
      </c>
      <c r="K163" s="54">
        <f t="shared" si="18"/>
        <v>-10697</v>
      </c>
    </row>
    <row r="164" ht="38.25" customHeight="1">
      <c r="A164" s="105" t="s">
        <v>423</v>
      </c>
      <c r="B164" s="123"/>
      <c r="C164" s="120" t="s">
        <v>424</v>
      </c>
      <c r="D164" s="2"/>
      <c r="E164" s="3"/>
      <c r="F164" s="52"/>
      <c r="G164" s="50">
        <v>3000.0</v>
      </c>
      <c r="H164" s="50">
        <f>'PAINEL DE CONTROLE'!$D$5</f>
        <v>13697</v>
      </c>
      <c r="I164" s="50"/>
      <c r="J164" s="50">
        <f t="shared" si="17"/>
        <v>3000</v>
      </c>
      <c r="K164" s="54">
        <f t="shared" si="18"/>
        <v>-10697</v>
      </c>
    </row>
    <row r="165" ht="38.25" customHeight="1">
      <c r="A165" s="105" t="s">
        <v>425</v>
      </c>
      <c r="B165" s="123"/>
      <c r="C165" s="120" t="s">
        <v>426</v>
      </c>
      <c r="D165" s="2"/>
      <c r="E165" s="3"/>
      <c r="F165" s="52"/>
      <c r="G165" s="50">
        <v>3000.0</v>
      </c>
      <c r="H165" s="50">
        <f>'PAINEL DE CONTROLE'!$D$5</f>
        <v>13697</v>
      </c>
      <c r="I165" s="50"/>
      <c r="J165" s="50">
        <f t="shared" si="17"/>
        <v>3000</v>
      </c>
      <c r="K165" s="54">
        <f t="shared" si="18"/>
        <v>-10697</v>
      </c>
    </row>
    <row r="166" ht="38.25" customHeight="1">
      <c r="A166" s="105" t="s">
        <v>427</v>
      </c>
      <c r="B166" s="123"/>
      <c r="C166" s="120" t="s">
        <v>428</v>
      </c>
      <c r="D166" s="2"/>
      <c r="E166" s="3"/>
      <c r="F166" s="52"/>
      <c r="G166" s="50">
        <v>3000.0</v>
      </c>
      <c r="H166" s="50">
        <f>'PAINEL DE CONTROLE'!$D$5</f>
        <v>13697</v>
      </c>
      <c r="I166" s="50"/>
      <c r="J166" s="50">
        <f t="shared" si="17"/>
        <v>3000</v>
      </c>
      <c r="K166" s="54">
        <f t="shared" si="18"/>
        <v>-10697</v>
      </c>
    </row>
    <row r="167" ht="38.25" customHeight="1">
      <c r="A167" s="105" t="s">
        <v>429</v>
      </c>
      <c r="B167" s="123"/>
      <c r="C167" s="120" t="s">
        <v>430</v>
      </c>
      <c r="D167" s="2"/>
      <c r="E167" s="3"/>
      <c r="F167" s="52"/>
      <c r="G167" s="50">
        <v>3000.0</v>
      </c>
      <c r="H167" s="50">
        <f>'PAINEL DE CONTROLE'!$D$5</f>
        <v>13697</v>
      </c>
      <c r="I167" s="50"/>
      <c r="J167" s="50">
        <f t="shared" si="17"/>
        <v>3000</v>
      </c>
      <c r="K167" s="54">
        <f t="shared" si="18"/>
        <v>-10697</v>
      </c>
    </row>
    <row r="168" ht="38.25" customHeight="1">
      <c r="A168" s="105" t="s">
        <v>431</v>
      </c>
      <c r="B168" s="123"/>
      <c r="C168" s="120" t="s">
        <v>432</v>
      </c>
      <c r="D168" s="2"/>
      <c r="E168" s="3"/>
      <c r="F168" s="52"/>
      <c r="G168" s="50">
        <v>3000.0</v>
      </c>
      <c r="H168" s="50">
        <f>'PAINEL DE CONTROLE'!$D$5</f>
        <v>13697</v>
      </c>
      <c r="I168" s="50"/>
      <c r="J168" s="50">
        <f t="shared" si="17"/>
        <v>3000</v>
      </c>
      <c r="K168" s="54">
        <f t="shared" si="18"/>
        <v>-10697</v>
      </c>
    </row>
    <row r="169" ht="38.25" customHeight="1">
      <c r="A169" s="105" t="s">
        <v>433</v>
      </c>
      <c r="B169" s="123"/>
      <c r="C169" s="120" t="s">
        <v>434</v>
      </c>
      <c r="D169" s="2"/>
      <c r="E169" s="3"/>
      <c r="F169" s="52"/>
      <c r="G169" s="50">
        <v>3000.0</v>
      </c>
      <c r="H169" s="50">
        <f>'PAINEL DE CONTROLE'!$D$5</f>
        <v>13697</v>
      </c>
      <c r="I169" s="50"/>
      <c r="J169" s="50">
        <f t="shared" si="17"/>
        <v>3000</v>
      </c>
      <c r="K169" s="54">
        <f t="shared" si="18"/>
        <v>-10697</v>
      </c>
    </row>
    <row r="170" ht="38.25" customHeight="1">
      <c r="A170" s="105" t="s">
        <v>435</v>
      </c>
      <c r="B170" s="123"/>
      <c r="C170" s="120" t="s">
        <v>436</v>
      </c>
      <c r="D170" s="2"/>
      <c r="E170" s="3"/>
      <c r="F170" s="52"/>
      <c r="G170" s="50">
        <v>3000.0</v>
      </c>
      <c r="H170" s="50">
        <f>'PAINEL DE CONTROLE'!$D$5</f>
        <v>13697</v>
      </c>
      <c r="I170" s="50"/>
      <c r="J170" s="50">
        <f t="shared" si="17"/>
        <v>3000</v>
      </c>
      <c r="K170" s="54">
        <f t="shared" si="18"/>
        <v>-10697</v>
      </c>
    </row>
    <row r="171" ht="38.25" customHeight="1">
      <c r="A171" s="105" t="s">
        <v>437</v>
      </c>
      <c r="B171" s="123"/>
      <c r="C171" s="120" t="s">
        <v>438</v>
      </c>
      <c r="D171" s="2"/>
      <c r="E171" s="3"/>
      <c r="F171" s="52"/>
      <c r="G171" s="50">
        <v>3000.0</v>
      </c>
      <c r="H171" s="50">
        <f>'PAINEL DE CONTROLE'!$D$5</f>
        <v>13697</v>
      </c>
      <c r="I171" s="50"/>
      <c r="J171" s="50">
        <f t="shared" si="17"/>
        <v>3000</v>
      </c>
      <c r="K171" s="54">
        <f t="shared" si="18"/>
        <v>-10697</v>
      </c>
    </row>
    <row r="172" ht="38.25" customHeight="1">
      <c r="A172" s="105" t="s">
        <v>439</v>
      </c>
      <c r="B172" s="123"/>
      <c r="C172" s="120" t="s">
        <v>440</v>
      </c>
      <c r="D172" s="2"/>
      <c r="E172" s="3"/>
      <c r="F172" s="52"/>
      <c r="G172" s="50">
        <v>3000.0</v>
      </c>
      <c r="H172" s="50">
        <f>'PAINEL DE CONTROLE'!$D$5</f>
        <v>13697</v>
      </c>
      <c r="I172" s="50"/>
      <c r="J172" s="50">
        <f t="shared" si="17"/>
        <v>3000</v>
      </c>
      <c r="K172" s="54">
        <f t="shared" si="18"/>
        <v>-10697</v>
      </c>
    </row>
    <row r="173" ht="38.25" customHeight="1">
      <c r="A173" s="105" t="s">
        <v>441</v>
      </c>
      <c r="B173" s="123"/>
      <c r="C173" s="120" t="s">
        <v>442</v>
      </c>
      <c r="D173" s="2"/>
      <c r="E173" s="3"/>
      <c r="F173" s="52"/>
      <c r="G173" s="50">
        <v>3000.0</v>
      </c>
      <c r="H173" s="50">
        <f>'PAINEL DE CONTROLE'!$D$5</f>
        <v>13697</v>
      </c>
      <c r="I173" s="50"/>
      <c r="J173" s="50">
        <f t="shared" si="17"/>
        <v>3000</v>
      </c>
      <c r="K173" s="54">
        <f t="shared" si="18"/>
        <v>-10697</v>
      </c>
    </row>
    <row r="174" ht="38.25" customHeight="1">
      <c r="A174" s="105" t="s">
        <v>443</v>
      </c>
      <c r="B174" s="123"/>
      <c r="C174" s="120" t="s">
        <v>444</v>
      </c>
      <c r="D174" s="2"/>
      <c r="E174" s="3"/>
      <c r="F174" s="52"/>
      <c r="G174" s="50">
        <v>3000.0</v>
      </c>
      <c r="H174" s="50">
        <f>'PAINEL DE CONTROLE'!$D$5</f>
        <v>13697</v>
      </c>
      <c r="I174" s="50"/>
      <c r="J174" s="50">
        <f t="shared" si="17"/>
        <v>3000</v>
      </c>
      <c r="K174" s="54">
        <f t="shared" si="18"/>
        <v>-10697</v>
      </c>
    </row>
    <row r="175" ht="38.25" customHeight="1">
      <c r="A175" s="105" t="s">
        <v>445</v>
      </c>
      <c r="B175" s="123"/>
      <c r="C175" s="120" t="s">
        <v>446</v>
      </c>
      <c r="D175" s="2"/>
      <c r="E175" s="3"/>
      <c r="F175" s="52"/>
      <c r="G175" s="50">
        <v>3000.0</v>
      </c>
      <c r="H175" s="50">
        <f>'PAINEL DE CONTROLE'!$D$5</f>
        <v>13697</v>
      </c>
      <c r="I175" s="50"/>
      <c r="J175" s="50">
        <f t="shared" si="17"/>
        <v>3000</v>
      </c>
      <c r="K175" s="54">
        <f t="shared" si="18"/>
        <v>-10697</v>
      </c>
    </row>
    <row r="176" ht="38.25" customHeight="1">
      <c r="A176" s="105" t="s">
        <v>447</v>
      </c>
      <c r="B176" s="123"/>
      <c r="C176" s="120" t="s">
        <v>448</v>
      </c>
      <c r="D176" s="2"/>
      <c r="E176" s="3"/>
      <c r="F176" s="52"/>
      <c r="G176" s="50">
        <v>3000.0</v>
      </c>
      <c r="H176" s="50">
        <f>'PAINEL DE CONTROLE'!$D$5</f>
        <v>13697</v>
      </c>
      <c r="I176" s="50"/>
      <c r="J176" s="50">
        <f t="shared" si="17"/>
        <v>3000</v>
      </c>
      <c r="K176" s="54">
        <f t="shared" si="18"/>
        <v>-10697</v>
      </c>
    </row>
    <row r="177" ht="38.25" customHeight="1">
      <c r="A177" s="105" t="s">
        <v>449</v>
      </c>
      <c r="B177" s="123"/>
      <c r="C177" s="120" t="s">
        <v>450</v>
      </c>
      <c r="D177" s="2"/>
      <c r="E177" s="3"/>
      <c r="F177" s="52"/>
      <c r="G177" s="50">
        <v>3000.0</v>
      </c>
      <c r="H177" s="50">
        <f>'PAINEL DE CONTROLE'!$D$5</f>
        <v>13697</v>
      </c>
      <c r="I177" s="50"/>
      <c r="J177" s="50">
        <f t="shared" si="17"/>
        <v>3000</v>
      </c>
      <c r="K177" s="54">
        <f t="shared" si="18"/>
        <v>-10697</v>
      </c>
    </row>
    <row r="178" ht="38.25" customHeight="1">
      <c r="A178" s="105" t="s">
        <v>451</v>
      </c>
      <c r="B178" s="123"/>
      <c r="C178" s="120" t="s">
        <v>452</v>
      </c>
      <c r="D178" s="2"/>
      <c r="E178" s="3"/>
      <c r="F178" s="52"/>
      <c r="G178" s="50">
        <v>3000.0</v>
      </c>
      <c r="H178" s="50">
        <f>'PAINEL DE CONTROLE'!$D$5</f>
        <v>13697</v>
      </c>
      <c r="I178" s="50"/>
      <c r="J178" s="50">
        <f t="shared" si="17"/>
        <v>3000</v>
      </c>
      <c r="K178" s="54">
        <f t="shared" si="18"/>
        <v>-10697</v>
      </c>
    </row>
    <row r="179" ht="38.25" customHeight="1">
      <c r="A179" s="105" t="s">
        <v>453</v>
      </c>
      <c r="B179" s="123"/>
      <c r="C179" s="120" t="s">
        <v>454</v>
      </c>
      <c r="D179" s="2"/>
      <c r="E179" s="3"/>
      <c r="F179" s="52"/>
      <c r="G179" s="50">
        <v>3000.0</v>
      </c>
      <c r="H179" s="50">
        <f>'PAINEL DE CONTROLE'!$D$5</f>
        <v>13697</v>
      </c>
      <c r="I179" s="50"/>
      <c r="J179" s="50">
        <f t="shared" si="17"/>
        <v>3000</v>
      </c>
      <c r="K179" s="54">
        <f t="shared" si="18"/>
        <v>-10697</v>
      </c>
    </row>
    <row r="180" ht="38.25" customHeight="1">
      <c r="A180" s="105" t="s">
        <v>455</v>
      </c>
      <c r="B180" s="123"/>
      <c r="C180" s="120" t="s">
        <v>456</v>
      </c>
      <c r="D180" s="2"/>
      <c r="E180" s="3"/>
      <c r="F180" s="52"/>
      <c r="G180" s="50">
        <v>3000.0</v>
      </c>
      <c r="H180" s="50">
        <f>'PAINEL DE CONTROLE'!$D$5</f>
        <v>13697</v>
      </c>
      <c r="I180" s="50"/>
      <c r="J180" s="50">
        <f t="shared" si="17"/>
        <v>3000</v>
      </c>
      <c r="K180" s="54">
        <f t="shared" si="18"/>
        <v>-10697</v>
      </c>
    </row>
    <row r="181" ht="38.25" customHeight="1">
      <c r="A181" s="105" t="s">
        <v>457</v>
      </c>
      <c r="B181" s="123"/>
      <c r="C181" s="120" t="s">
        <v>458</v>
      </c>
      <c r="D181" s="2"/>
      <c r="E181" s="3"/>
      <c r="F181" s="52"/>
      <c r="G181" s="50">
        <v>3000.0</v>
      </c>
      <c r="H181" s="50">
        <f>'PAINEL DE CONTROLE'!$D$5</f>
        <v>13697</v>
      </c>
      <c r="I181" s="50"/>
      <c r="J181" s="50">
        <f t="shared" si="17"/>
        <v>3000</v>
      </c>
      <c r="K181" s="54">
        <f t="shared" si="18"/>
        <v>-10697</v>
      </c>
    </row>
    <row r="182" ht="38.25" customHeight="1">
      <c r="A182" s="105" t="s">
        <v>459</v>
      </c>
      <c r="B182" s="123"/>
      <c r="C182" s="120" t="s">
        <v>460</v>
      </c>
      <c r="D182" s="2"/>
      <c r="E182" s="3"/>
      <c r="F182" s="52"/>
      <c r="G182" s="50">
        <v>3000.0</v>
      </c>
      <c r="H182" s="50">
        <f>'PAINEL DE CONTROLE'!$D$5</f>
        <v>13697</v>
      </c>
      <c r="I182" s="50"/>
      <c r="J182" s="50">
        <f t="shared" si="17"/>
        <v>3000</v>
      </c>
      <c r="K182" s="54">
        <f t="shared" si="18"/>
        <v>-10697</v>
      </c>
    </row>
    <row r="183" ht="38.25" customHeight="1">
      <c r="A183" s="105" t="s">
        <v>461</v>
      </c>
      <c r="B183" s="123"/>
      <c r="C183" s="120" t="s">
        <v>462</v>
      </c>
      <c r="D183" s="2"/>
      <c r="E183" s="3"/>
      <c r="F183" s="52"/>
      <c r="G183" s="50">
        <v>3000.0</v>
      </c>
      <c r="H183" s="50">
        <f>'PAINEL DE CONTROLE'!$D$5</f>
        <v>13697</v>
      </c>
      <c r="I183" s="50"/>
      <c r="J183" s="50">
        <f t="shared" si="17"/>
        <v>3000</v>
      </c>
      <c r="K183" s="54">
        <f t="shared" si="18"/>
        <v>-10697</v>
      </c>
    </row>
    <row r="184" ht="38.25" customHeight="1">
      <c r="A184" s="105" t="s">
        <v>463</v>
      </c>
      <c r="B184" s="123"/>
      <c r="C184" s="120" t="s">
        <v>464</v>
      </c>
      <c r="D184" s="2"/>
      <c r="E184" s="3"/>
      <c r="F184" s="52"/>
      <c r="G184" s="50">
        <v>3000.0</v>
      </c>
      <c r="H184" s="50">
        <f>'PAINEL DE CONTROLE'!$D$5</f>
        <v>13697</v>
      </c>
      <c r="I184" s="50"/>
      <c r="J184" s="50">
        <f t="shared" si="17"/>
        <v>3000</v>
      </c>
      <c r="K184" s="54">
        <f t="shared" si="18"/>
        <v>-10697</v>
      </c>
    </row>
    <row r="185" ht="38.25" customHeight="1">
      <c r="A185" s="105" t="s">
        <v>465</v>
      </c>
      <c r="B185" s="123"/>
      <c r="C185" s="120" t="s">
        <v>466</v>
      </c>
      <c r="D185" s="2"/>
      <c r="E185" s="3"/>
      <c r="F185" s="52"/>
      <c r="G185" s="50">
        <v>3000.0</v>
      </c>
      <c r="H185" s="50">
        <f>'PAINEL DE CONTROLE'!$D$5</f>
        <v>13697</v>
      </c>
      <c r="I185" s="50"/>
      <c r="J185" s="50">
        <f t="shared" si="17"/>
        <v>3000</v>
      </c>
      <c r="K185" s="54">
        <f t="shared" si="18"/>
        <v>-10697</v>
      </c>
    </row>
    <row r="186" ht="38.25" customHeight="1">
      <c r="A186" s="105" t="s">
        <v>467</v>
      </c>
      <c r="B186" s="123"/>
      <c r="C186" s="120" t="s">
        <v>468</v>
      </c>
      <c r="D186" s="2"/>
      <c r="E186" s="3"/>
      <c r="F186" s="52"/>
      <c r="G186" s="50">
        <v>3000.0</v>
      </c>
      <c r="H186" s="50">
        <f>'PAINEL DE CONTROLE'!$D$5</f>
        <v>13697</v>
      </c>
      <c r="I186" s="50"/>
      <c r="J186" s="50">
        <f t="shared" si="17"/>
        <v>3000</v>
      </c>
      <c r="K186" s="54">
        <f t="shared" si="18"/>
        <v>-10697</v>
      </c>
    </row>
    <row r="187" ht="38.25" customHeight="1">
      <c r="A187" s="105" t="s">
        <v>469</v>
      </c>
      <c r="B187" s="123"/>
      <c r="C187" s="120" t="s">
        <v>470</v>
      </c>
      <c r="D187" s="2"/>
      <c r="E187" s="3"/>
      <c r="F187" s="52"/>
      <c r="G187" s="50">
        <v>3000.0</v>
      </c>
      <c r="H187" s="50">
        <f>'PAINEL DE CONTROLE'!$D$5</f>
        <v>13697</v>
      </c>
      <c r="I187" s="50"/>
      <c r="J187" s="50">
        <f t="shared" si="17"/>
        <v>3000</v>
      </c>
      <c r="K187" s="54">
        <f t="shared" si="18"/>
        <v>-10697</v>
      </c>
    </row>
    <row r="188" ht="38.25" customHeight="1">
      <c r="A188" s="105" t="s">
        <v>471</v>
      </c>
      <c r="B188" s="123"/>
      <c r="C188" s="120" t="s">
        <v>472</v>
      </c>
      <c r="D188" s="2"/>
      <c r="E188" s="3"/>
      <c r="F188" s="52"/>
      <c r="G188" s="50">
        <v>3000.0</v>
      </c>
      <c r="H188" s="50">
        <f>'PAINEL DE CONTROLE'!$D$5</f>
        <v>13697</v>
      </c>
      <c r="I188" s="50"/>
      <c r="J188" s="50">
        <f t="shared" si="17"/>
        <v>3000</v>
      </c>
      <c r="K188" s="54">
        <f t="shared" si="18"/>
        <v>-10697</v>
      </c>
    </row>
    <row r="189" ht="38.25" customHeight="1">
      <c r="A189" s="105" t="s">
        <v>473</v>
      </c>
      <c r="B189" s="123"/>
      <c r="C189" s="120" t="s">
        <v>474</v>
      </c>
      <c r="D189" s="2"/>
      <c r="E189" s="3"/>
      <c r="F189" s="52"/>
      <c r="G189" s="50">
        <v>3000.0</v>
      </c>
      <c r="H189" s="50">
        <f>'PAINEL DE CONTROLE'!$D$5</f>
        <v>13697</v>
      </c>
      <c r="I189" s="50"/>
      <c r="J189" s="50">
        <f t="shared" si="17"/>
        <v>3000</v>
      </c>
      <c r="K189" s="54">
        <f t="shared" si="18"/>
        <v>-10697</v>
      </c>
    </row>
    <row r="190" ht="38.25" customHeight="1">
      <c r="A190" s="105" t="s">
        <v>475</v>
      </c>
      <c r="B190" s="123"/>
      <c r="C190" s="120" t="s">
        <v>476</v>
      </c>
      <c r="D190" s="2"/>
      <c r="E190" s="3"/>
      <c r="F190" s="52"/>
      <c r="G190" s="50">
        <v>3000.0</v>
      </c>
      <c r="H190" s="50">
        <f>'PAINEL DE CONTROLE'!$D$5</f>
        <v>13697</v>
      </c>
      <c r="I190" s="50"/>
      <c r="J190" s="50">
        <f t="shared" si="17"/>
        <v>3000</v>
      </c>
      <c r="K190" s="54">
        <f t="shared" si="18"/>
        <v>-10697</v>
      </c>
    </row>
    <row r="191" ht="38.25" customHeight="1">
      <c r="A191" s="105" t="s">
        <v>477</v>
      </c>
      <c r="B191" s="123"/>
      <c r="C191" s="120" t="s">
        <v>478</v>
      </c>
      <c r="D191" s="2"/>
      <c r="E191" s="3"/>
      <c r="F191" s="52"/>
      <c r="G191" s="50">
        <v>3000.0</v>
      </c>
      <c r="H191" s="50">
        <f>'PAINEL DE CONTROLE'!$D$5</f>
        <v>13697</v>
      </c>
      <c r="I191" s="50"/>
      <c r="J191" s="50">
        <f t="shared" si="17"/>
        <v>3000</v>
      </c>
      <c r="K191" s="54">
        <f t="shared" si="18"/>
        <v>-10697</v>
      </c>
    </row>
    <row r="192" ht="38.25" customHeight="1">
      <c r="A192" s="105" t="s">
        <v>479</v>
      </c>
      <c r="B192" s="123"/>
      <c r="C192" s="120" t="s">
        <v>480</v>
      </c>
      <c r="D192" s="2"/>
      <c r="E192" s="3"/>
      <c r="F192" s="52"/>
      <c r="G192" s="50">
        <v>3000.0</v>
      </c>
      <c r="H192" s="50">
        <f>'PAINEL DE CONTROLE'!$D$5</f>
        <v>13697</v>
      </c>
      <c r="I192" s="50"/>
      <c r="J192" s="50">
        <f t="shared" si="17"/>
        <v>3000</v>
      </c>
      <c r="K192" s="54">
        <f t="shared" si="18"/>
        <v>-10697</v>
      </c>
    </row>
    <row r="193" ht="38.25" customHeight="1">
      <c r="A193" s="105" t="s">
        <v>481</v>
      </c>
      <c r="B193" s="123"/>
      <c r="C193" s="120" t="s">
        <v>482</v>
      </c>
      <c r="D193" s="2"/>
      <c r="E193" s="3"/>
      <c r="F193" s="52"/>
      <c r="G193" s="50">
        <v>3000.0</v>
      </c>
      <c r="H193" s="50">
        <f>'PAINEL DE CONTROLE'!$D$5</f>
        <v>13697</v>
      </c>
      <c r="I193" s="50"/>
      <c r="J193" s="50">
        <f t="shared" si="17"/>
        <v>3000</v>
      </c>
      <c r="K193" s="54">
        <f t="shared" si="18"/>
        <v>-10697</v>
      </c>
    </row>
    <row r="194" ht="39.0" customHeight="1">
      <c r="A194" s="105" t="s">
        <v>483</v>
      </c>
      <c r="B194" s="123"/>
      <c r="C194" s="120" t="s">
        <v>484</v>
      </c>
      <c r="D194" s="2"/>
      <c r="E194" s="3"/>
      <c r="F194" s="52"/>
      <c r="G194" s="50">
        <v>3000.0</v>
      </c>
      <c r="H194" s="50">
        <f>'PAINEL DE CONTROLE'!$D$5</f>
        <v>13697</v>
      </c>
      <c r="I194" s="50"/>
      <c r="J194" s="50">
        <f t="shared" si="17"/>
        <v>3000</v>
      </c>
      <c r="K194" s="54">
        <f t="shared" si="18"/>
        <v>-10697</v>
      </c>
    </row>
    <row r="195" ht="39.0" customHeight="1">
      <c r="A195" s="105" t="s">
        <v>485</v>
      </c>
      <c r="B195" s="123"/>
      <c r="C195" s="120" t="s">
        <v>486</v>
      </c>
      <c r="D195" s="2"/>
      <c r="E195" s="3"/>
      <c r="F195" s="52"/>
      <c r="G195" s="50">
        <v>3000.0</v>
      </c>
      <c r="H195" s="50">
        <f>'PAINEL DE CONTROLE'!$D$5</f>
        <v>13697</v>
      </c>
      <c r="I195" s="50"/>
      <c r="J195" s="50">
        <f t="shared" si="17"/>
        <v>3000</v>
      </c>
      <c r="K195" s="54">
        <f t="shared" si="18"/>
        <v>-10697</v>
      </c>
    </row>
    <row r="196" ht="39.0" customHeight="1">
      <c r="A196" s="105" t="s">
        <v>487</v>
      </c>
      <c r="B196" s="123"/>
      <c r="C196" s="120" t="s">
        <v>488</v>
      </c>
      <c r="D196" s="2"/>
      <c r="E196" s="3"/>
      <c r="F196" s="52"/>
      <c r="G196" s="50">
        <v>3000.0</v>
      </c>
      <c r="H196" s="50">
        <f>'PAINEL DE CONTROLE'!$D$5</f>
        <v>13697</v>
      </c>
      <c r="I196" s="50"/>
      <c r="J196" s="50">
        <f t="shared" si="17"/>
        <v>3000</v>
      </c>
      <c r="K196" s="54">
        <f t="shared" si="18"/>
        <v>-10697</v>
      </c>
    </row>
    <row r="197" ht="39.0" customHeight="1">
      <c r="A197" s="105" t="s">
        <v>489</v>
      </c>
      <c r="B197" s="123"/>
      <c r="C197" s="120" t="s">
        <v>490</v>
      </c>
      <c r="D197" s="2"/>
      <c r="E197" s="3"/>
      <c r="F197" s="52"/>
      <c r="G197" s="50">
        <v>3000.0</v>
      </c>
      <c r="H197" s="50">
        <f>'PAINEL DE CONTROLE'!$D$5</f>
        <v>13697</v>
      </c>
      <c r="I197" s="50"/>
      <c r="J197" s="50">
        <f t="shared" si="17"/>
        <v>3000</v>
      </c>
      <c r="K197" s="54">
        <f t="shared" si="18"/>
        <v>-10697</v>
      </c>
    </row>
    <row r="198" ht="39.0" customHeight="1">
      <c r="A198" s="105" t="s">
        <v>491</v>
      </c>
      <c r="B198" s="123"/>
      <c r="C198" s="120" t="s">
        <v>492</v>
      </c>
      <c r="D198" s="2"/>
      <c r="E198" s="3"/>
      <c r="F198" s="52"/>
      <c r="G198" s="50">
        <v>3000.0</v>
      </c>
      <c r="H198" s="50">
        <f>'PAINEL DE CONTROLE'!$D$5</f>
        <v>13697</v>
      </c>
      <c r="I198" s="50"/>
      <c r="J198" s="50">
        <f t="shared" si="17"/>
        <v>3000</v>
      </c>
      <c r="K198" s="54">
        <f t="shared" si="18"/>
        <v>-10697</v>
      </c>
    </row>
    <row r="199" ht="39.0" customHeight="1">
      <c r="A199" s="105" t="s">
        <v>493</v>
      </c>
      <c r="B199" s="123"/>
      <c r="C199" s="120" t="s">
        <v>494</v>
      </c>
      <c r="D199" s="2"/>
      <c r="E199" s="3"/>
      <c r="F199" s="52"/>
      <c r="G199" s="50">
        <v>3000.0</v>
      </c>
      <c r="H199" s="50">
        <f>'PAINEL DE CONTROLE'!$D$5</f>
        <v>13697</v>
      </c>
      <c r="I199" s="50"/>
      <c r="J199" s="50">
        <f t="shared" si="17"/>
        <v>3000</v>
      </c>
      <c r="K199" s="54">
        <f t="shared" si="18"/>
        <v>-10697</v>
      </c>
    </row>
    <row r="200" ht="39.0" customHeight="1">
      <c r="A200" s="105" t="s">
        <v>495</v>
      </c>
      <c r="B200" s="123"/>
      <c r="C200" s="120" t="s">
        <v>496</v>
      </c>
      <c r="D200" s="2"/>
      <c r="E200" s="3"/>
      <c r="F200" s="52"/>
      <c r="G200" s="50">
        <v>3000.0</v>
      </c>
      <c r="H200" s="50">
        <f>'PAINEL DE CONTROLE'!$D$5</f>
        <v>13697</v>
      </c>
      <c r="I200" s="50"/>
      <c r="J200" s="50">
        <f t="shared" si="17"/>
        <v>3000</v>
      </c>
      <c r="K200" s="54">
        <f t="shared" si="18"/>
        <v>-10697</v>
      </c>
    </row>
    <row r="201" ht="39.0" customHeight="1">
      <c r="A201" s="105" t="s">
        <v>497</v>
      </c>
      <c r="B201" s="123"/>
      <c r="C201" s="120" t="s">
        <v>498</v>
      </c>
      <c r="D201" s="2"/>
      <c r="E201" s="3"/>
      <c r="F201" s="52"/>
      <c r="G201" s="50">
        <v>3000.0</v>
      </c>
      <c r="H201" s="50">
        <f>'PAINEL DE CONTROLE'!$D$5</f>
        <v>13697</v>
      </c>
      <c r="I201" s="50"/>
      <c r="J201" s="50">
        <f t="shared" si="17"/>
        <v>3000</v>
      </c>
      <c r="K201" s="54">
        <f t="shared" si="18"/>
        <v>-10697</v>
      </c>
    </row>
    <row r="202" ht="39.0" customHeight="1">
      <c r="A202" s="105" t="s">
        <v>499</v>
      </c>
      <c r="B202" s="123"/>
      <c r="C202" s="120" t="s">
        <v>500</v>
      </c>
      <c r="D202" s="2"/>
      <c r="E202" s="3"/>
      <c r="F202" s="52"/>
      <c r="G202" s="50">
        <v>3000.0</v>
      </c>
      <c r="H202" s="50">
        <f>'PAINEL DE CONTROLE'!$D$5</f>
        <v>13697</v>
      </c>
      <c r="I202" s="50"/>
      <c r="J202" s="50">
        <f t="shared" si="17"/>
        <v>3000</v>
      </c>
      <c r="K202" s="54">
        <f t="shared" si="18"/>
        <v>-10697</v>
      </c>
    </row>
    <row r="203" ht="39.0" customHeight="1">
      <c r="A203" s="105" t="s">
        <v>501</v>
      </c>
      <c r="B203" s="123"/>
      <c r="C203" s="120" t="s">
        <v>502</v>
      </c>
      <c r="D203" s="2"/>
      <c r="E203" s="3"/>
      <c r="F203" s="52"/>
      <c r="G203" s="50">
        <v>3000.0</v>
      </c>
      <c r="H203" s="50">
        <f>'PAINEL DE CONTROLE'!$D$5</f>
        <v>13697</v>
      </c>
      <c r="I203" s="50"/>
      <c r="J203" s="50">
        <f t="shared" si="17"/>
        <v>3000</v>
      </c>
      <c r="K203" s="54">
        <f t="shared" si="18"/>
        <v>-10697</v>
      </c>
    </row>
    <row r="204" ht="39.0" customHeight="1">
      <c r="A204" s="105" t="s">
        <v>503</v>
      </c>
      <c r="B204" s="123"/>
      <c r="C204" s="120" t="s">
        <v>504</v>
      </c>
      <c r="D204" s="2"/>
      <c r="E204" s="3"/>
      <c r="F204" s="52"/>
      <c r="G204" s="50">
        <v>3000.0</v>
      </c>
      <c r="H204" s="50">
        <f>'PAINEL DE CONTROLE'!$D$5</f>
        <v>13697</v>
      </c>
      <c r="I204" s="50"/>
      <c r="J204" s="50">
        <f t="shared" si="17"/>
        <v>3000</v>
      </c>
      <c r="K204" s="54">
        <f t="shared" si="18"/>
        <v>-10697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51:$K$151"/>
  <mergeCells count="126">
    <mergeCell ref="A1:K1"/>
    <mergeCell ref="A4:A8"/>
    <mergeCell ref="B4:B8"/>
    <mergeCell ref="A9:A12"/>
    <mergeCell ref="B9:B12"/>
    <mergeCell ref="A13:A16"/>
    <mergeCell ref="B13:B16"/>
    <mergeCell ref="C24:D24"/>
    <mergeCell ref="C25:D25"/>
    <mergeCell ref="C29:D29"/>
    <mergeCell ref="C30:D30"/>
    <mergeCell ref="C32:D32"/>
    <mergeCell ref="C33:D33"/>
    <mergeCell ref="A17:A19"/>
    <mergeCell ref="B18:B19"/>
    <mergeCell ref="C18:D18"/>
    <mergeCell ref="C19:D19"/>
    <mergeCell ref="B21:B22"/>
    <mergeCell ref="C21:D21"/>
    <mergeCell ref="C22:D22"/>
    <mergeCell ref="A20:A22"/>
    <mergeCell ref="A23:A25"/>
    <mergeCell ref="B24:B25"/>
    <mergeCell ref="A26:A30"/>
    <mergeCell ref="B26:B28"/>
    <mergeCell ref="B29:B30"/>
    <mergeCell ref="B32:B33"/>
    <mergeCell ref="A31:A33"/>
    <mergeCell ref="A36:A37"/>
    <mergeCell ref="A38:A39"/>
    <mergeCell ref="A40:A41"/>
    <mergeCell ref="A45:A46"/>
    <mergeCell ref="A47:A48"/>
    <mergeCell ref="A49:A50"/>
    <mergeCell ref="A52:A53"/>
    <mergeCell ref="A54:A55"/>
    <mergeCell ref="A56:A57"/>
    <mergeCell ref="A58:A59"/>
    <mergeCell ref="A60:A61"/>
    <mergeCell ref="A62:A63"/>
    <mergeCell ref="A64:A65"/>
    <mergeCell ref="A66:A68"/>
    <mergeCell ref="A69:A70"/>
    <mergeCell ref="A71:A76"/>
    <mergeCell ref="A77:A78"/>
    <mergeCell ref="A80:A81"/>
    <mergeCell ref="A82:A83"/>
    <mergeCell ref="A84:A85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201:E201"/>
    <mergeCell ref="C202:E202"/>
    <mergeCell ref="C203:E203"/>
    <mergeCell ref="C204:E204"/>
    <mergeCell ref="C194:E194"/>
    <mergeCell ref="C195:E195"/>
    <mergeCell ref="C196:E196"/>
    <mergeCell ref="C197:E197"/>
    <mergeCell ref="C198:E198"/>
    <mergeCell ref="C199:E199"/>
    <mergeCell ref="C200:E200"/>
    <mergeCell ref="A86:A87"/>
    <mergeCell ref="A88:A89"/>
    <mergeCell ref="A90:A95"/>
    <mergeCell ref="A96:A101"/>
    <mergeCell ref="A102:A103"/>
    <mergeCell ref="A105:A106"/>
    <mergeCell ref="B105:B106"/>
    <mergeCell ref="A107:A108"/>
    <mergeCell ref="A109:A110"/>
    <mergeCell ref="A111:A112"/>
    <mergeCell ref="A113:A114"/>
    <mergeCell ref="A115:A116"/>
    <mergeCell ref="A117:A118"/>
    <mergeCell ref="B119:B120"/>
    <mergeCell ref="A147:A148"/>
    <mergeCell ref="B152:B155"/>
    <mergeCell ref="B156:B161"/>
    <mergeCell ref="A162:A163"/>
    <mergeCell ref="A119:A120"/>
    <mergeCell ref="A121:A122"/>
    <mergeCell ref="A131:A133"/>
    <mergeCell ref="A135:A136"/>
    <mergeCell ref="A137:A138"/>
    <mergeCell ref="A150:K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</mergeCells>
  <conditionalFormatting sqref="K2:K148 K152:K204">
    <cfRule type="cellIs" dxfId="3" priority="1" stopIfTrue="1" operator="lessThan">
      <formula>0</formula>
    </cfRule>
  </conditionalFormatting>
  <conditionalFormatting sqref="K2:K148 K152:K204">
    <cfRule type="cellIs" dxfId="4" priority="2" stopIfTrue="1" operator="between">
      <formula>1</formula>
      <formula>40</formula>
    </cfRule>
  </conditionalFormatting>
  <conditionalFormatting sqref="K2:K148 K152:K204">
    <cfRule type="containsBlanks" dxfId="1" priority="3" stopIfTrue="1">
      <formula>LEN(TRIM(K2))=0</formula>
    </cfRule>
  </conditionalFormatting>
  <conditionalFormatting sqref="L2:AU3">
    <cfRule type="cellIs" dxfId="3" priority="4" operator="lessThan">
      <formula>0</formula>
    </cfRule>
  </conditionalFormatting>
  <conditionalFormatting sqref="L2:AU3">
    <cfRule type="cellIs" dxfId="4" priority="5" operator="between">
      <formula>1</formula>
      <formula>40</formula>
    </cfRule>
  </conditionalFormatting>
  <conditionalFormatting sqref="L2:AU3">
    <cfRule type="containsBlanks" dxfId="1" priority="6">
      <formula>LEN(TRIM(L2))=0</formula>
    </cfRule>
  </conditionalFormatting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21.14"/>
    <col customWidth="1" min="3" max="3" width="27.57"/>
    <col customWidth="1" min="4" max="4" width="46.43"/>
    <col customWidth="1" min="5" max="5" width="11.71"/>
    <col customWidth="1" min="6" max="6" width="8.71"/>
    <col customWidth="1" min="7" max="7" width="21.0"/>
    <col customWidth="1" min="8" max="8" width="16.57"/>
    <col customWidth="1" min="9" max="9" width="15.29"/>
    <col customWidth="1" min="10" max="10" width="14.57"/>
    <col customWidth="1" min="11" max="11" width="20.57"/>
    <col customWidth="1" min="12" max="12" width="21.14"/>
    <col customWidth="1" min="13" max="13" width="47.71"/>
    <col customWidth="1" min="14" max="15" width="21.14"/>
    <col customWidth="1" min="16" max="16" width="47.71"/>
    <col customWidth="1" min="17" max="18" width="21.14"/>
    <col customWidth="1" min="19" max="19" width="47.71"/>
    <col customWidth="1" min="20" max="21" width="21.14"/>
    <col customWidth="1" min="22" max="22" width="47.71"/>
    <col customWidth="1" min="23" max="24" width="21.14"/>
    <col customWidth="1" min="25" max="25" width="47.71"/>
    <col customWidth="1" min="26" max="27" width="21.14"/>
    <col customWidth="1" min="28" max="28" width="47.71"/>
    <col customWidth="1" min="29" max="30" width="21.14"/>
    <col customWidth="1" min="31" max="31" width="47.71"/>
    <col customWidth="1" min="32" max="33" width="21.14"/>
    <col customWidth="1" min="34" max="34" width="47.71"/>
    <col customWidth="1" min="35" max="36" width="21.14"/>
    <col customWidth="1" min="37" max="37" width="47.71"/>
    <col customWidth="1" min="38" max="39" width="21.14"/>
    <col customWidth="1" min="40" max="40" width="47.71"/>
    <col customWidth="1" min="41" max="42" width="21.14"/>
    <col customWidth="1" min="43" max="43" width="47.71"/>
    <col customWidth="1" min="44" max="45" width="21.14"/>
    <col customWidth="1" min="46" max="46" width="47.71"/>
    <col customWidth="1" min="47" max="48" width="21.14"/>
    <col customWidth="1" min="49" max="49" width="47.71"/>
    <col customWidth="1" min="50" max="50" width="21.14"/>
  </cols>
  <sheetData>
    <row r="1" ht="39.75" customHeight="1">
      <c r="A1" s="124" t="s">
        <v>17</v>
      </c>
      <c r="B1" s="2"/>
      <c r="C1" s="2"/>
      <c r="D1" s="2"/>
      <c r="E1" s="2"/>
      <c r="F1" s="2"/>
      <c r="G1" s="2"/>
      <c r="H1" s="2"/>
      <c r="I1" s="2"/>
      <c r="J1" s="2"/>
      <c r="K1" s="125"/>
      <c r="L1" s="39"/>
      <c r="M1" s="40"/>
      <c r="N1" s="41"/>
      <c r="O1" s="39"/>
      <c r="P1" s="40"/>
      <c r="Q1" s="41"/>
      <c r="R1" s="39"/>
      <c r="S1" s="40"/>
      <c r="T1" s="41"/>
      <c r="U1" s="39"/>
      <c r="V1" s="40"/>
      <c r="W1" s="41"/>
      <c r="X1" s="39"/>
      <c r="Y1" s="40"/>
      <c r="Z1" s="41"/>
      <c r="AA1" s="39"/>
      <c r="AB1" s="40"/>
      <c r="AC1" s="41"/>
      <c r="AD1" s="39"/>
      <c r="AE1" s="40"/>
      <c r="AF1" s="41"/>
      <c r="AG1" s="39"/>
      <c r="AH1" s="40"/>
      <c r="AI1" s="41"/>
      <c r="AJ1" s="39"/>
      <c r="AK1" s="40"/>
      <c r="AL1" s="41"/>
      <c r="AM1" s="39"/>
      <c r="AN1" s="40"/>
      <c r="AO1" s="41"/>
      <c r="AP1" s="39"/>
      <c r="AQ1" s="40"/>
      <c r="AR1" s="41"/>
      <c r="AS1" s="39"/>
      <c r="AT1" s="40"/>
      <c r="AU1" s="41"/>
      <c r="AV1" s="39"/>
      <c r="AW1" s="40"/>
      <c r="AX1" s="41"/>
    </row>
    <row r="2" ht="30.75" customHeight="1">
      <c r="A2" s="42" t="s">
        <v>96</v>
      </c>
      <c r="B2" s="42" t="s">
        <v>98</v>
      </c>
      <c r="C2" s="42" t="s">
        <v>99</v>
      </c>
      <c r="D2" s="42" t="s">
        <v>100</v>
      </c>
      <c r="E2" s="42" t="s">
        <v>505</v>
      </c>
      <c r="F2" s="44" t="s">
        <v>101</v>
      </c>
      <c r="G2" s="42" t="s">
        <v>506</v>
      </c>
      <c r="H2" s="45" t="s">
        <v>103</v>
      </c>
      <c r="I2" s="45" t="s">
        <v>104</v>
      </c>
      <c r="J2" s="42" t="s">
        <v>105</v>
      </c>
      <c r="K2" s="46" t="s">
        <v>106</v>
      </c>
      <c r="L2" s="47" t="s">
        <v>107</v>
      </c>
      <c r="M2" s="45" t="s">
        <v>108</v>
      </c>
      <c r="N2" s="126" t="s">
        <v>109</v>
      </c>
      <c r="O2" s="47" t="s">
        <v>107</v>
      </c>
      <c r="P2" s="45" t="s">
        <v>108</v>
      </c>
      <c r="Q2" s="126" t="s">
        <v>109</v>
      </c>
      <c r="R2" s="47" t="s">
        <v>107</v>
      </c>
      <c r="S2" s="45" t="s">
        <v>108</v>
      </c>
      <c r="T2" s="126" t="s">
        <v>109</v>
      </c>
      <c r="U2" s="47" t="s">
        <v>107</v>
      </c>
      <c r="V2" s="45" t="s">
        <v>108</v>
      </c>
      <c r="W2" s="126" t="s">
        <v>109</v>
      </c>
      <c r="X2" s="47" t="s">
        <v>107</v>
      </c>
      <c r="Y2" s="45" t="s">
        <v>108</v>
      </c>
      <c r="Z2" s="126" t="s">
        <v>109</v>
      </c>
      <c r="AA2" s="47" t="s">
        <v>107</v>
      </c>
      <c r="AB2" s="45" t="s">
        <v>108</v>
      </c>
      <c r="AC2" s="126" t="s">
        <v>109</v>
      </c>
      <c r="AD2" s="47" t="s">
        <v>107</v>
      </c>
      <c r="AE2" s="45" t="s">
        <v>108</v>
      </c>
      <c r="AF2" s="126" t="s">
        <v>109</v>
      </c>
      <c r="AG2" s="47" t="s">
        <v>107</v>
      </c>
      <c r="AH2" s="45" t="s">
        <v>108</v>
      </c>
      <c r="AI2" s="126" t="s">
        <v>109</v>
      </c>
      <c r="AJ2" s="47" t="s">
        <v>107</v>
      </c>
      <c r="AK2" s="45" t="s">
        <v>108</v>
      </c>
      <c r="AL2" s="126" t="s">
        <v>109</v>
      </c>
      <c r="AM2" s="47" t="s">
        <v>107</v>
      </c>
      <c r="AN2" s="45" t="s">
        <v>108</v>
      </c>
      <c r="AO2" s="126" t="s">
        <v>109</v>
      </c>
      <c r="AP2" s="47" t="s">
        <v>107</v>
      </c>
      <c r="AQ2" s="45" t="s">
        <v>108</v>
      </c>
      <c r="AR2" s="126" t="s">
        <v>109</v>
      </c>
      <c r="AS2" s="47" t="s">
        <v>107</v>
      </c>
      <c r="AT2" s="45" t="s">
        <v>108</v>
      </c>
      <c r="AU2" s="126" t="s">
        <v>109</v>
      </c>
      <c r="AV2" s="47" t="s">
        <v>107</v>
      </c>
      <c r="AW2" s="45" t="s">
        <v>108</v>
      </c>
      <c r="AX2" s="126" t="s">
        <v>109</v>
      </c>
    </row>
    <row r="3" ht="30.75" customHeight="1">
      <c r="A3" s="64" t="s">
        <v>507</v>
      </c>
      <c r="B3" s="127" t="s">
        <v>508</v>
      </c>
      <c r="C3" s="88" t="s">
        <v>509</v>
      </c>
      <c r="D3" s="88" t="s">
        <v>510</v>
      </c>
      <c r="E3" s="88" t="s">
        <v>511</v>
      </c>
      <c r="F3" s="88">
        <v>3.0</v>
      </c>
      <c r="G3" s="88">
        <v>500.0</v>
      </c>
      <c r="H3" s="128">
        <f>'PAINEL DE CONTROLE'!$D$6</f>
        <v>13742</v>
      </c>
      <c r="I3" s="129">
        <v>13680.0</v>
      </c>
      <c r="J3" s="88">
        <f t="shared" ref="J3:J30" si="1">SUM(I3+G3)</f>
        <v>14180</v>
      </c>
      <c r="K3" s="130">
        <f t="shared" ref="K3:K30" si="2">SUM(J3-H3)</f>
        <v>438</v>
      </c>
      <c r="L3" s="131">
        <v>45728.0</v>
      </c>
      <c r="M3" s="31"/>
      <c r="N3" s="61"/>
      <c r="O3" s="60"/>
      <c r="P3" s="31"/>
      <c r="Q3" s="61"/>
      <c r="R3" s="60"/>
      <c r="S3" s="31"/>
      <c r="T3" s="61"/>
      <c r="U3" s="60"/>
      <c r="V3" s="31"/>
      <c r="W3" s="61"/>
      <c r="X3" s="60"/>
      <c r="Y3" s="31"/>
      <c r="Z3" s="61"/>
      <c r="AA3" s="60"/>
      <c r="AB3" s="31"/>
      <c r="AC3" s="61"/>
      <c r="AD3" s="60"/>
      <c r="AE3" s="31"/>
      <c r="AF3" s="61"/>
      <c r="AG3" s="60"/>
      <c r="AH3" s="31"/>
      <c r="AI3" s="61"/>
      <c r="AJ3" s="60"/>
      <c r="AK3" s="31"/>
      <c r="AL3" s="61"/>
      <c r="AM3" s="60"/>
      <c r="AN3" s="31"/>
      <c r="AO3" s="61"/>
      <c r="AP3" s="60"/>
      <c r="AQ3" s="31"/>
      <c r="AR3" s="61"/>
      <c r="AS3" s="60"/>
      <c r="AT3" s="31"/>
      <c r="AU3" s="61"/>
      <c r="AV3" s="60"/>
      <c r="AW3" s="31"/>
      <c r="AX3" s="61"/>
    </row>
    <row r="4" ht="30.75" customHeight="1">
      <c r="A4" s="62"/>
      <c r="B4" s="127" t="s">
        <v>512</v>
      </c>
      <c r="C4" s="88" t="s">
        <v>513</v>
      </c>
      <c r="D4" s="88" t="s">
        <v>514</v>
      </c>
      <c r="E4" s="88" t="s">
        <v>511</v>
      </c>
      <c r="F4" s="88">
        <v>3.0</v>
      </c>
      <c r="G4" s="88">
        <v>500.0</v>
      </c>
      <c r="H4" s="128">
        <f>'PAINEL DE CONTROLE'!$D$6</f>
        <v>13742</v>
      </c>
      <c r="I4" s="129">
        <v>13680.0</v>
      </c>
      <c r="J4" s="88">
        <f t="shared" si="1"/>
        <v>14180</v>
      </c>
      <c r="K4" s="130">
        <f t="shared" si="2"/>
        <v>438</v>
      </c>
      <c r="L4" s="131">
        <v>45728.0</v>
      </c>
      <c r="M4" s="31"/>
      <c r="N4" s="61"/>
      <c r="O4" s="60"/>
      <c r="P4" s="31"/>
      <c r="Q4" s="61"/>
      <c r="R4" s="60"/>
      <c r="S4" s="31"/>
      <c r="T4" s="61"/>
      <c r="U4" s="60"/>
      <c r="V4" s="31"/>
      <c r="W4" s="61"/>
      <c r="X4" s="60"/>
      <c r="Y4" s="31"/>
      <c r="Z4" s="61"/>
      <c r="AA4" s="60"/>
      <c r="AB4" s="31"/>
      <c r="AC4" s="61"/>
      <c r="AD4" s="60"/>
      <c r="AE4" s="31"/>
      <c r="AF4" s="61"/>
      <c r="AG4" s="60"/>
      <c r="AH4" s="31"/>
      <c r="AI4" s="61"/>
      <c r="AJ4" s="60"/>
      <c r="AK4" s="31"/>
      <c r="AL4" s="61"/>
      <c r="AM4" s="60"/>
      <c r="AN4" s="31"/>
      <c r="AO4" s="61"/>
      <c r="AP4" s="60"/>
      <c r="AQ4" s="31"/>
      <c r="AR4" s="61"/>
      <c r="AS4" s="60"/>
      <c r="AT4" s="31"/>
      <c r="AU4" s="61"/>
      <c r="AV4" s="60"/>
      <c r="AW4" s="31"/>
      <c r="AX4" s="61"/>
    </row>
    <row r="5" ht="30.75" customHeight="1">
      <c r="A5" s="62"/>
      <c r="B5" s="127" t="s">
        <v>515</v>
      </c>
      <c r="C5" s="88" t="s">
        <v>516</v>
      </c>
      <c r="D5" s="88" t="s">
        <v>517</v>
      </c>
      <c r="E5" s="88" t="s">
        <v>511</v>
      </c>
      <c r="F5" s="88">
        <v>6.0</v>
      </c>
      <c r="G5" s="88">
        <v>500.0</v>
      </c>
      <c r="H5" s="128">
        <f>'PAINEL DE CONTROLE'!$D$6</f>
        <v>13742</v>
      </c>
      <c r="I5" s="129">
        <v>13680.0</v>
      </c>
      <c r="J5" s="88">
        <f t="shared" si="1"/>
        <v>14180</v>
      </c>
      <c r="K5" s="130">
        <f t="shared" si="2"/>
        <v>438</v>
      </c>
      <c r="L5" s="131">
        <v>45728.0</v>
      </c>
      <c r="M5" s="31"/>
      <c r="N5" s="61"/>
      <c r="O5" s="60"/>
      <c r="P5" s="31"/>
      <c r="Q5" s="61"/>
      <c r="R5" s="60"/>
      <c r="S5" s="31"/>
      <c r="T5" s="61"/>
      <c r="U5" s="60"/>
      <c r="V5" s="31"/>
      <c r="W5" s="61"/>
      <c r="X5" s="60"/>
      <c r="Y5" s="31"/>
      <c r="Z5" s="61"/>
      <c r="AA5" s="60"/>
      <c r="AB5" s="31"/>
      <c r="AC5" s="61"/>
      <c r="AD5" s="60"/>
      <c r="AE5" s="31"/>
      <c r="AF5" s="61"/>
      <c r="AG5" s="60"/>
      <c r="AH5" s="31"/>
      <c r="AI5" s="61"/>
      <c r="AJ5" s="60"/>
      <c r="AK5" s="31"/>
      <c r="AL5" s="61"/>
      <c r="AM5" s="60"/>
      <c r="AN5" s="31"/>
      <c r="AO5" s="61"/>
      <c r="AP5" s="60"/>
      <c r="AQ5" s="31"/>
      <c r="AR5" s="61"/>
      <c r="AS5" s="60"/>
      <c r="AT5" s="31"/>
      <c r="AU5" s="61"/>
      <c r="AV5" s="60"/>
      <c r="AW5" s="31"/>
      <c r="AX5" s="61"/>
    </row>
    <row r="6" ht="30.75" customHeight="1">
      <c r="A6" s="62"/>
      <c r="B6" s="127" t="s">
        <v>518</v>
      </c>
      <c r="C6" s="88" t="s">
        <v>519</v>
      </c>
      <c r="D6" s="88" t="s">
        <v>520</v>
      </c>
      <c r="E6" s="88" t="s">
        <v>511</v>
      </c>
      <c r="F6" s="88">
        <v>3.0</v>
      </c>
      <c r="G6" s="88">
        <v>500.0</v>
      </c>
      <c r="H6" s="128">
        <f>'PAINEL DE CONTROLE'!$D$6</f>
        <v>13742</v>
      </c>
      <c r="I6" s="88">
        <f t="shared" ref="I6:I8" si="3">$I$3</f>
        <v>13680</v>
      </c>
      <c r="J6" s="88">
        <f t="shared" si="1"/>
        <v>14180</v>
      </c>
      <c r="K6" s="130">
        <f t="shared" si="2"/>
        <v>438</v>
      </c>
      <c r="L6" s="131">
        <v>45728.0</v>
      </c>
      <c r="M6" s="31"/>
      <c r="N6" s="61"/>
      <c r="O6" s="60"/>
      <c r="P6" s="31"/>
      <c r="Q6" s="61"/>
      <c r="R6" s="60"/>
      <c r="S6" s="31"/>
      <c r="T6" s="61"/>
      <c r="U6" s="60"/>
      <c r="V6" s="31"/>
      <c r="W6" s="61"/>
      <c r="X6" s="60"/>
      <c r="Y6" s="31"/>
      <c r="Z6" s="61"/>
      <c r="AA6" s="60"/>
      <c r="AB6" s="31"/>
      <c r="AC6" s="61"/>
      <c r="AD6" s="60"/>
      <c r="AE6" s="31"/>
      <c r="AF6" s="61"/>
      <c r="AG6" s="60"/>
      <c r="AH6" s="31"/>
      <c r="AI6" s="61"/>
      <c r="AJ6" s="60"/>
      <c r="AK6" s="31"/>
      <c r="AL6" s="61"/>
      <c r="AM6" s="60"/>
      <c r="AN6" s="31"/>
      <c r="AO6" s="61"/>
      <c r="AP6" s="60"/>
      <c r="AQ6" s="31"/>
      <c r="AR6" s="61"/>
      <c r="AS6" s="60"/>
      <c r="AT6" s="31"/>
      <c r="AU6" s="61"/>
      <c r="AV6" s="60"/>
      <c r="AW6" s="31"/>
      <c r="AX6" s="61"/>
    </row>
    <row r="7" ht="30.75" customHeight="1">
      <c r="A7" s="62"/>
      <c r="B7" s="127" t="s">
        <v>521</v>
      </c>
      <c r="C7" s="88" t="s">
        <v>522</v>
      </c>
      <c r="D7" s="88" t="s">
        <v>510</v>
      </c>
      <c r="E7" s="88" t="s">
        <v>511</v>
      </c>
      <c r="F7" s="88">
        <v>3.0</v>
      </c>
      <c r="G7" s="88">
        <v>500.0</v>
      </c>
      <c r="H7" s="128">
        <f>'PAINEL DE CONTROLE'!$D$6</f>
        <v>13742</v>
      </c>
      <c r="I7" s="88">
        <f t="shared" si="3"/>
        <v>13680</v>
      </c>
      <c r="J7" s="88">
        <f t="shared" si="1"/>
        <v>14180</v>
      </c>
      <c r="K7" s="130">
        <f t="shared" si="2"/>
        <v>438</v>
      </c>
      <c r="L7" s="131">
        <v>45728.0</v>
      </c>
      <c r="M7" s="31"/>
      <c r="N7" s="61"/>
      <c r="O7" s="60"/>
      <c r="P7" s="31"/>
      <c r="Q7" s="61"/>
      <c r="R7" s="60"/>
      <c r="S7" s="31"/>
      <c r="T7" s="61"/>
      <c r="U7" s="60"/>
      <c r="V7" s="31"/>
      <c r="W7" s="61"/>
      <c r="X7" s="60"/>
      <c r="Y7" s="31"/>
      <c r="Z7" s="61"/>
      <c r="AA7" s="60"/>
      <c r="AB7" s="31"/>
      <c r="AC7" s="61"/>
      <c r="AD7" s="60"/>
      <c r="AE7" s="31"/>
      <c r="AF7" s="61"/>
      <c r="AG7" s="60"/>
      <c r="AH7" s="31"/>
      <c r="AI7" s="61"/>
      <c r="AJ7" s="60"/>
      <c r="AK7" s="31"/>
      <c r="AL7" s="61"/>
      <c r="AM7" s="60"/>
      <c r="AN7" s="31"/>
      <c r="AO7" s="61"/>
      <c r="AP7" s="60"/>
      <c r="AQ7" s="31"/>
      <c r="AR7" s="61"/>
      <c r="AS7" s="60"/>
      <c r="AT7" s="31"/>
      <c r="AU7" s="61"/>
      <c r="AV7" s="60"/>
      <c r="AW7" s="31"/>
      <c r="AX7" s="61"/>
    </row>
    <row r="8" ht="30.75" customHeight="1">
      <c r="A8" s="63"/>
      <c r="B8" s="127" t="s">
        <v>523</v>
      </c>
      <c r="C8" s="88" t="s">
        <v>524</v>
      </c>
      <c r="D8" s="88" t="s">
        <v>525</v>
      </c>
      <c r="E8" s="88" t="s">
        <v>511</v>
      </c>
      <c r="F8" s="88">
        <v>3.0</v>
      </c>
      <c r="G8" s="88">
        <v>500.0</v>
      </c>
      <c r="H8" s="128">
        <f>'PAINEL DE CONTROLE'!$D$6</f>
        <v>13742</v>
      </c>
      <c r="I8" s="88">
        <f t="shared" si="3"/>
        <v>13680</v>
      </c>
      <c r="J8" s="88">
        <f t="shared" si="1"/>
        <v>14180</v>
      </c>
      <c r="K8" s="130">
        <f t="shared" si="2"/>
        <v>438</v>
      </c>
      <c r="L8" s="131">
        <v>45728.0</v>
      </c>
      <c r="M8" s="31"/>
      <c r="N8" s="61"/>
      <c r="O8" s="60"/>
      <c r="P8" s="31"/>
      <c r="Q8" s="61"/>
      <c r="R8" s="60"/>
      <c r="S8" s="31"/>
      <c r="T8" s="61"/>
      <c r="U8" s="60"/>
      <c r="V8" s="31"/>
      <c r="W8" s="61"/>
      <c r="X8" s="60"/>
      <c r="Y8" s="31"/>
      <c r="Z8" s="61"/>
      <c r="AA8" s="60"/>
      <c r="AB8" s="31"/>
      <c r="AC8" s="61"/>
      <c r="AD8" s="60"/>
      <c r="AE8" s="31"/>
      <c r="AF8" s="61"/>
      <c r="AG8" s="60"/>
      <c r="AH8" s="31"/>
      <c r="AI8" s="61"/>
      <c r="AJ8" s="60"/>
      <c r="AK8" s="31"/>
      <c r="AL8" s="61"/>
      <c r="AM8" s="60"/>
      <c r="AN8" s="31"/>
      <c r="AO8" s="61"/>
      <c r="AP8" s="60"/>
      <c r="AQ8" s="31"/>
      <c r="AR8" s="61"/>
      <c r="AS8" s="60"/>
      <c r="AT8" s="31"/>
      <c r="AU8" s="61"/>
      <c r="AV8" s="60"/>
      <c r="AW8" s="31"/>
      <c r="AX8" s="61"/>
    </row>
    <row r="9" ht="30.75" customHeight="1">
      <c r="A9" s="51" t="s">
        <v>526</v>
      </c>
      <c r="B9" s="89" t="s">
        <v>527</v>
      </c>
      <c r="C9" s="88" t="s">
        <v>528</v>
      </c>
      <c r="D9" s="88" t="s">
        <v>525</v>
      </c>
      <c r="E9" s="88" t="s">
        <v>511</v>
      </c>
      <c r="F9" s="88">
        <v>6.0</v>
      </c>
      <c r="G9" s="88">
        <v>1500.0</v>
      </c>
      <c r="H9" s="128">
        <f>'PAINEL DE CONTROLE'!$D$6</f>
        <v>13742</v>
      </c>
      <c r="I9" s="129">
        <v>13680.0</v>
      </c>
      <c r="J9" s="88">
        <f t="shared" si="1"/>
        <v>15180</v>
      </c>
      <c r="K9" s="130">
        <f t="shared" si="2"/>
        <v>1438</v>
      </c>
      <c r="L9" s="131">
        <v>45728.0</v>
      </c>
      <c r="M9" s="31"/>
      <c r="N9" s="61"/>
      <c r="O9" s="60"/>
      <c r="P9" s="31"/>
      <c r="Q9" s="61"/>
      <c r="R9" s="60"/>
      <c r="S9" s="31"/>
      <c r="T9" s="61"/>
      <c r="U9" s="60"/>
      <c r="V9" s="31"/>
      <c r="W9" s="61"/>
      <c r="X9" s="60"/>
      <c r="Y9" s="31"/>
      <c r="Z9" s="61"/>
      <c r="AA9" s="60"/>
      <c r="AB9" s="31"/>
      <c r="AC9" s="61"/>
      <c r="AD9" s="60"/>
      <c r="AE9" s="31"/>
      <c r="AF9" s="61"/>
      <c r="AG9" s="60"/>
      <c r="AH9" s="31"/>
      <c r="AI9" s="61"/>
      <c r="AJ9" s="60"/>
      <c r="AK9" s="31"/>
      <c r="AL9" s="61"/>
      <c r="AM9" s="60"/>
      <c r="AN9" s="31"/>
      <c r="AO9" s="61"/>
      <c r="AP9" s="60"/>
      <c r="AQ9" s="31"/>
      <c r="AR9" s="61"/>
      <c r="AS9" s="60"/>
      <c r="AT9" s="31"/>
      <c r="AU9" s="61"/>
      <c r="AV9" s="60"/>
      <c r="AW9" s="31"/>
      <c r="AX9" s="61"/>
    </row>
    <row r="10" ht="30.75" customHeight="1">
      <c r="A10" s="51" t="s">
        <v>529</v>
      </c>
      <c r="B10" s="132" t="s">
        <v>530</v>
      </c>
      <c r="C10" s="3"/>
      <c r="D10" s="88" t="s">
        <v>531</v>
      </c>
      <c r="E10" s="88" t="s">
        <v>532</v>
      </c>
      <c r="F10" s="88">
        <v>4.0</v>
      </c>
      <c r="G10" s="88">
        <v>1500.0</v>
      </c>
      <c r="H10" s="128">
        <f>'PAINEL DE CONTROLE'!$D$6</f>
        <v>13742</v>
      </c>
      <c r="I10" s="129">
        <v>13680.0</v>
      </c>
      <c r="J10" s="88">
        <f t="shared" si="1"/>
        <v>15180</v>
      </c>
      <c r="K10" s="130">
        <f t="shared" si="2"/>
        <v>1438</v>
      </c>
      <c r="L10" s="131">
        <v>45728.0</v>
      </c>
      <c r="M10" s="31"/>
      <c r="N10" s="61"/>
      <c r="O10" s="60"/>
      <c r="P10" s="31"/>
      <c r="Q10" s="61"/>
      <c r="R10" s="60"/>
      <c r="S10" s="31"/>
      <c r="T10" s="61"/>
      <c r="U10" s="60"/>
      <c r="V10" s="31"/>
      <c r="W10" s="61"/>
      <c r="X10" s="60"/>
      <c r="Y10" s="31"/>
      <c r="Z10" s="61"/>
      <c r="AA10" s="60"/>
      <c r="AB10" s="31"/>
      <c r="AC10" s="61"/>
      <c r="AD10" s="60"/>
      <c r="AE10" s="31"/>
      <c r="AF10" s="61"/>
      <c r="AG10" s="60"/>
      <c r="AH10" s="31"/>
      <c r="AI10" s="61"/>
      <c r="AJ10" s="60"/>
      <c r="AK10" s="31"/>
      <c r="AL10" s="61"/>
      <c r="AM10" s="60"/>
      <c r="AN10" s="31"/>
      <c r="AO10" s="61"/>
      <c r="AP10" s="60"/>
      <c r="AQ10" s="31"/>
      <c r="AR10" s="61"/>
      <c r="AS10" s="60"/>
      <c r="AT10" s="31"/>
      <c r="AU10" s="61"/>
      <c r="AV10" s="60"/>
      <c r="AW10" s="31"/>
      <c r="AX10" s="61"/>
    </row>
    <row r="11" ht="30.75" customHeight="1">
      <c r="A11" s="51" t="s">
        <v>533</v>
      </c>
      <c r="B11" s="132" t="s">
        <v>534</v>
      </c>
      <c r="C11" s="3"/>
      <c r="D11" s="88" t="s">
        <v>535</v>
      </c>
      <c r="E11" s="88" t="s">
        <v>536</v>
      </c>
      <c r="F11" s="88">
        <v>20.0</v>
      </c>
      <c r="G11" s="88">
        <v>1500.0</v>
      </c>
      <c r="H11" s="128">
        <f>'PAINEL DE CONTROLE'!$D$6</f>
        <v>13742</v>
      </c>
      <c r="I11" s="88">
        <f t="shared" ref="I11:I12" si="4">$I$10</f>
        <v>13680</v>
      </c>
      <c r="J11" s="88">
        <f t="shared" si="1"/>
        <v>15180</v>
      </c>
      <c r="K11" s="130">
        <f t="shared" si="2"/>
        <v>1438</v>
      </c>
      <c r="L11" s="131">
        <v>45728.0</v>
      </c>
      <c r="M11" s="31"/>
      <c r="N11" s="61"/>
      <c r="O11" s="60"/>
      <c r="P11" s="31"/>
      <c r="Q11" s="61"/>
      <c r="R11" s="60"/>
      <c r="S11" s="31"/>
      <c r="T11" s="61"/>
      <c r="U11" s="60"/>
      <c r="V11" s="31"/>
      <c r="W11" s="61"/>
      <c r="X11" s="60"/>
      <c r="Y11" s="31"/>
      <c r="Z11" s="61"/>
      <c r="AA11" s="60"/>
      <c r="AB11" s="31"/>
      <c r="AC11" s="61"/>
      <c r="AD11" s="60"/>
      <c r="AE11" s="31"/>
      <c r="AF11" s="61"/>
      <c r="AG11" s="60"/>
      <c r="AH11" s="31"/>
      <c r="AI11" s="61"/>
      <c r="AJ11" s="60"/>
      <c r="AK11" s="31"/>
      <c r="AL11" s="61"/>
      <c r="AM11" s="60"/>
      <c r="AN11" s="31"/>
      <c r="AO11" s="61"/>
      <c r="AP11" s="60"/>
      <c r="AQ11" s="31"/>
      <c r="AR11" s="61"/>
      <c r="AS11" s="60"/>
      <c r="AT11" s="31"/>
      <c r="AU11" s="61"/>
      <c r="AV11" s="60"/>
      <c r="AW11" s="31"/>
      <c r="AX11" s="61"/>
    </row>
    <row r="12" ht="30.75" customHeight="1">
      <c r="A12" s="51" t="s">
        <v>537</v>
      </c>
      <c r="B12" s="132" t="s">
        <v>538</v>
      </c>
      <c r="C12" s="3"/>
      <c r="D12" s="88" t="s">
        <v>539</v>
      </c>
      <c r="E12" s="88" t="s">
        <v>536</v>
      </c>
      <c r="F12" s="88">
        <v>20.0</v>
      </c>
      <c r="G12" s="88">
        <v>1500.0</v>
      </c>
      <c r="H12" s="128">
        <f>'PAINEL DE CONTROLE'!$D$6</f>
        <v>13742</v>
      </c>
      <c r="I12" s="88">
        <f t="shared" si="4"/>
        <v>13680</v>
      </c>
      <c r="J12" s="88">
        <f t="shared" si="1"/>
        <v>15180</v>
      </c>
      <c r="K12" s="130">
        <f t="shared" si="2"/>
        <v>1438</v>
      </c>
      <c r="L12" s="131">
        <v>45728.0</v>
      </c>
      <c r="M12" s="31"/>
      <c r="N12" s="61"/>
      <c r="O12" s="60"/>
      <c r="P12" s="31"/>
      <c r="Q12" s="61"/>
      <c r="R12" s="60"/>
      <c r="S12" s="31"/>
      <c r="T12" s="61"/>
      <c r="U12" s="60"/>
      <c r="V12" s="31"/>
      <c r="W12" s="61"/>
      <c r="X12" s="60"/>
      <c r="Y12" s="31"/>
      <c r="Z12" s="61"/>
      <c r="AA12" s="60"/>
      <c r="AB12" s="31"/>
      <c r="AC12" s="61"/>
      <c r="AD12" s="60"/>
      <c r="AE12" s="31"/>
      <c r="AF12" s="61"/>
      <c r="AG12" s="60"/>
      <c r="AH12" s="31"/>
      <c r="AI12" s="61"/>
      <c r="AJ12" s="60"/>
      <c r="AK12" s="31"/>
      <c r="AL12" s="61"/>
      <c r="AM12" s="60"/>
      <c r="AN12" s="31"/>
      <c r="AO12" s="61"/>
      <c r="AP12" s="60"/>
      <c r="AQ12" s="31"/>
      <c r="AR12" s="61"/>
      <c r="AS12" s="60"/>
      <c r="AT12" s="31"/>
      <c r="AU12" s="61"/>
      <c r="AV12" s="60"/>
      <c r="AW12" s="31"/>
      <c r="AX12" s="61"/>
    </row>
    <row r="13" ht="30.75" customHeight="1">
      <c r="A13" s="64" t="s">
        <v>540</v>
      </c>
      <c r="B13" s="133" t="s">
        <v>541</v>
      </c>
      <c r="C13" s="51" t="s">
        <v>542</v>
      </c>
      <c r="D13" s="51" t="s">
        <v>543</v>
      </c>
      <c r="E13" s="51" t="s">
        <v>511</v>
      </c>
      <c r="F13" s="51">
        <v>3.0</v>
      </c>
      <c r="G13" s="88">
        <v>1500.0</v>
      </c>
      <c r="H13" s="128">
        <f>'PAINEL DE CONTROLE'!$D$6</f>
        <v>13742</v>
      </c>
      <c r="I13" s="88"/>
      <c r="J13" s="88">
        <f t="shared" si="1"/>
        <v>1500</v>
      </c>
      <c r="K13" s="130">
        <f t="shared" si="2"/>
        <v>-12242</v>
      </c>
      <c r="L13" s="60"/>
      <c r="M13" s="31"/>
      <c r="N13" s="61"/>
      <c r="O13" s="60"/>
      <c r="P13" s="31"/>
      <c r="Q13" s="61"/>
      <c r="R13" s="60"/>
      <c r="S13" s="31"/>
      <c r="T13" s="61"/>
      <c r="U13" s="60"/>
      <c r="V13" s="31"/>
      <c r="W13" s="61"/>
      <c r="X13" s="60"/>
      <c r="Y13" s="31"/>
      <c r="Z13" s="61"/>
      <c r="AA13" s="60"/>
      <c r="AB13" s="31"/>
      <c r="AC13" s="61"/>
      <c r="AD13" s="60"/>
      <c r="AE13" s="31"/>
      <c r="AF13" s="61"/>
      <c r="AG13" s="60"/>
      <c r="AH13" s="31"/>
      <c r="AI13" s="61"/>
      <c r="AJ13" s="60"/>
      <c r="AK13" s="31"/>
      <c r="AL13" s="61"/>
      <c r="AM13" s="60"/>
      <c r="AN13" s="31"/>
      <c r="AO13" s="61"/>
      <c r="AP13" s="60"/>
      <c r="AQ13" s="31"/>
      <c r="AR13" s="61"/>
      <c r="AS13" s="60"/>
      <c r="AT13" s="31"/>
      <c r="AU13" s="61"/>
      <c r="AV13" s="60"/>
      <c r="AW13" s="31"/>
      <c r="AX13" s="61"/>
    </row>
    <row r="14" ht="30.75" customHeight="1">
      <c r="A14" s="63"/>
      <c r="B14" s="134" t="s">
        <v>544</v>
      </c>
      <c r="C14" s="51" t="s">
        <v>545</v>
      </c>
      <c r="D14" s="51" t="s">
        <v>546</v>
      </c>
      <c r="E14" s="51" t="s">
        <v>511</v>
      </c>
      <c r="F14" s="51">
        <v>3.0</v>
      </c>
      <c r="G14" s="88">
        <v>1500.0</v>
      </c>
      <c r="H14" s="128">
        <f>'PAINEL DE CONTROLE'!$D$6</f>
        <v>13742</v>
      </c>
      <c r="I14" s="88" t="str">
        <f>I13</f>
        <v/>
      </c>
      <c r="J14" s="88">
        <f t="shared" si="1"/>
        <v>1500</v>
      </c>
      <c r="K14" s="130">
        <f t="shared" si="2"/>
        <v>-12242</v>
      </c>
      <c r="L14" s="60"/>
      <c r="M14" s="31"/>
      <c r="N14" s="61"/>
      <c r="O14" s="60"/>
      <c r="P14" s="31"/>
      <c r="Q14" s="61"/>
      <c r="R14" s="60"/>
      <c r="S14" s="31"/>
      <c r="T14" s="61"/>
      <c r="U14" s="60"/>
      <c r="V14" s="31"/>
      <c r="W14" s="61"/>
      <c r="X14" s="60"/>
      <c r="Y14" s="31"/>
      <c r="Z14" s="61"/>
      <c r="AA14" s="60"/>
      <c r="AB14" s="31"/>
      <c r="AC14" s="61"/>
      <c r="AD14" s="60"/>
      <c r="AE14" s="31"/>
      <c r="AF14" s="61"/>
      <c r="AG14" s="60"/>
      <c r="AH14" s="31"/>
      <c r="AI14" s="61"/>
      <c r="AJ14" s="60"/>
      <c r="AK14" s="31"/>
      <c r="AL14" s="61"/>
      <c r="AM14" s="60"/>
      <c r="AN14" s="31"/>
      <c r="AO14" s="61"/>
      <c r="AP14" s="60"/>
      <c r="AQ14" s="31"/>
      <c r="AR14" s="61"/>
      <c r="AS14" s="60"/>
      <c r="AT14" s="31"/>
      <c r="AU14" s="61"/>
      <c r="AV14" s="60"/>
      <c r="AW14" s="31"/>
      <c r="AX14" s="61"/>
    </row>
    <row r="15" ht="30.75" customHeight="1">
      <c r="A15" s="135" t="s">
        <v>547</v>
      </c>
      <c r="B15" s="88">
        <v>6.000013074E9</v>
      </c>
      <c r="C15" s="136" t="s">
        <v>548</v>
      </c>
      <c r="D15" s="51" t="s">
        <v>139</v>
      </c>
      <c r="E15" s="88" t="s">
        <v>511</v>
      </c>
      <c r="F15" s="51">
        <v>2.0</v>
      </c>
      <c r="G15" s="51">
        <v>3000.0</v>
      </c>
      <c r="H15" s="128">
        <f>'PAINEL DE CONTROLE'!$D$6</f>
        <v>13742</v>
      </c>
      <c r="I15" s="88"/>
      <c r="J15" s="88">
        <f t="shared" si="1"/>
        <v>3000</v>
      </c>
      <c r="K15" s="130">
        <f t="shared" si="2"/>
        <v>-10742</v>
      </c>
      <c r="L15" s="60"/>
      <c r="M15" s="31"/>
      <c r="N15" s="61"/>
      <c r="O15" s="60"/>
      <c r="P15" s="31"/>
      <c r="Q15" s="61"/>
      <c r="R15" s="60"/>
      <c r="S15" s="31"/>
      <c r="T15" s="61"/>
      <c r="U15" s="60"/>
      <c r="V15" s="31"/>
      <c r="W15" s="61"/>
      <c r="X15" s="60"/>
      <c r="Y15" s="31"/>
      <c r="Z15" s="61"/>
      <c r="AA15" s="60"/>
      <c r="AB15" s="31"/>
      <c r="AC15" s="61"/>
      <c r="AD15" s="60"/>
      <c r="AE15" s="31"/>
      <c r="AF15" s="61"/>
      <c r="AG15" s="60"/>
      <c r="AH15" s="31"/>
      <c r="AI15" s="61"/>
      <c r="AJ15" s="60"/>
      <c r="AK15" s="31"/>
      <c r="AL15" s="61"/>
      <c r="AM15" s="60"/>
      <c r="AN15" s="31"/>
      <c r="AO15" s="61"/>
      <c r="AP15" s="60"/>
      <c r="AQ15" s="31"/>
      <c r="AR15" s="61"/>
      <c r="AS15" s="60"/>
      <c r="AT15" s="31"/>
      <c r="AU15" s="61"/>
      <c r="AV15" s="60"/>
      <c r="AW15" s="31"/>
      <c r="AX15" s="61"/>
    </row>
    <row r="16" ht="30.75" customHeight="1">
      <c r="A16" s="62"/>
      <c r="B16" s="88">
        <v>6.000008757E9</v>
      </c>
      <c r="C16" s="136" t="s">
        <v>549</v>
      </c>
      <c r="D16" s="51" t="s">
        <v>139</v>
      </c>
      <c r="E16" s="88" t="s">
        <v>511</v>
      </c>
      <c r="F16" s="51">
        <v>5.0</v>
      </c>
      <c r="G16" s="51">
        <v>3000.0</v>
      </c>
      <c r="H16" s="128">
        <f>'PAINEL DE CONTROLE'!$D$6</f>
        <v>13742</v>
      </c>
      <c r="I16" s="88"/>
      <c r="J16" s="88">
        <f t="shared" si="1"/>
        <v>3000</v>
      </c>
      <c r="K16" s="130">
        <f t="shared" si="2"/>
        <v>-10742</v>
      </c>
      <c r="L16" s="60"/>
      <c r="M16" s="31"/>
      <c r="N16" s="61"/>
      <c r="O16" s="60"/>
      <c r="P16" s="31"/>
      <c r="Q16" s="61"/>
      <c r="R16" s="60"/>
      <c r="S16" s="31"/>
      <c r="T16" s="61"/>
      <c r="U16" s="60"/>
      <c r="V16" s="31"/>
      <c r="W16" s="61"/>
      <c r="X16" s="60"/>
      <c r="Y16" s="31"/>
      <c r="Z16" s="61"/>
      <c r="AA16" s="60"/>
      <c r="AB16" s="31"/>
      <c r="AC16" s="61"/>
      <c r="AD16" s="60"/>
      <c r="AE16" s="31"/>
      <c r="AF16" s="61"/>
      <c r="AG16" s="60"/>
      <c r="AH16" s="31"/>
      <c r="AI16" s="61"/>
      <c r="AJ16" s="60"/>
      <c r="AK16" s="31"/>
      <c r="AL16" s="61"/>
      <c r="AM16" s="60"/>
      <c r="AN16" s="31"/>
      <c r="AO16" s="61"/>
      <c r="AP16" s="60"/>
      <c r="AQ16" s="31"/>
      <c r="AR16" s="61"/>
      <c r="AS16" s="60"/>
      <c r="AT16" s="31"/>
      <c r="AU16" s="61"/>
      <c r="AV16" s="60"/>
      <c r="AW16" s="31"/>
      <c r="AX16" s="61"/>
    </row>
    <row r="17" ht="30.75" customHeight="1">
      <c r="A17" s="62"/>
      <c r="B17" s="88">
        <v>6.000001722E9</v>
      </c>
      <c r="C17" s="136" t="s">
        <v>550</v>
      </c>
      <c r="D17" s="51" t="s">
        <v>551</v>
      </c>
      <c r="E17" s="88" t="s">
        <v>511</v>
      </c>
      <c r="F17" s="51">
        <v>3.0</v>
      </c>
      <c r="G17" s="51">
        <v>3000.0</v>
      </c>
      <c r="H17" s="128">
        <f>'PAINEL DE CONTROLE'!$D$6</f>
        <v>13742</v>
      </c>
      <c r="I17" s="88"/>
      <c r="J17" s="88">
        <f t="shared" si="1"/>
        <v>3000</v>
      </c>
      <c r="K17" s="130">
        <f t="shared" si="2"/>
        <v>-10742</v>
      </c>
      <c r="L17" s="60"/>
      <c r="M17" s="31"/>
      <c r="N17" s="61"/>
      <c r="O17" s="60"/>
      <c r="P17" s="31"/>
      <c r="Q17" s="61"/>
      <c r="R17" s="60"/>
      <c r="S17" s="31"/>
      <c r="T17" s="61"/>
      <c r="U17" s="60"/>
      <c r="V17" s="31"/>
      <c r="W17" s="61"/>
      <c r="X17" s="60"/>
      <c r="Y17" s="31"/>
      <c r="Z17" s="61"/>
      <c r="AA17" s="60"/>
      <c r="AB17" s="31"/>
      <c r="AC17" s="61"/>
      <c r="AD17" s="60"/>
      <c r="AE17" s="31"/>
      <c r="AF17" s="61"/>
      <c r="AG17" s="60"/>
      <c r="AH17" s="31"/>
      <c r="AI17" s="61"/>
      <c r="AJ17" s="60"/>
      <c r="AK17" s="31"/>
      <c r="AL17" s="61"/>
      <c r="AM17" s="60"/>
      <c r="AN17" s="31"/>
      <c r="AO17" s="61"/>
      <c r="AP17" s="60"/>
      <c r="AQ17" s="31"/>
      <c r="AR17" s="61"/>
      <c r="AS17" s="60"/>
      <c r="AT17" s="31"/>
      <c r="AU17" s="61"/>
      <c r="AV17" s="60"/>
      <c r="AW17" s="31"/>
      <c r="AX17" s="61"/>
    </row>
    <row r="18" ht="30.75" customHeight="1">
      <c r="A18" s="62"/>
      <c r="B18" s="88">
        <v>6.000008919E9</v>
      </c>
      <c r="C18" s="136" t="s">
        <v>552</v>
      </c>
      <c r="D18" s="51" t="s">
        <v>139</v>
      </c>
      <c r="E18" s="88" t="s">
        <v>511</v>
      </c>
      <c r="F18" s="51">
        <v>2.0</v>
      </c>
      <c r="G18" s="51">
        <v>3000.0</v>
      </c>
      <c r="H18" s="128">
        <f>'PAINEL DE CONTROLE'!$D$6</f>
        <v>13742</v>
      </c>
      <c r="I18" s="88"/>
      <c r="J18" s="88">
        <f t="shared" si="1"/>
        <v>3000</v>
      </c>
      <c r="K18" s="130">
        <f t="shared" si="2"/>
        <v>-10742</v>
      </c>
      <c r="L18" s="60"/>
      <c r="M18" s="31"/>
      <c r="N18" s="61"/>
      <c r="O18" s="60"/>
      <c r="P18" s="31"/>
      <c r="Q18" s="61"/>
      <c r="R18" s="60"/>
      <c r="S18" s="31"/>
      <c r="T18" s="61"/>
      <c r="U18" s="60"/>
      <c r="V18" s="31"/>
      <c r="W18" s="61"/>
      <c r="X18" s="60"/>
      <c r="Y18" s="31"/>
      <c r="Z18" s="61"/>
      <c r="AA18" s="60"/>
      <c r="AB18" s="31"/>
      <c r="AC18" s="61"/>
      <c r="AD18" s="60"/>
      <c r="AE18" s="31"/>
      <c r="AF18" s="61"/>
      <c r="AG18" s="60"/>
      <c r="AH18" s="31"/>
      <c r="AI18" s="61"/>
      <c r="AJ18" s="60"/>
      <c r="AK18" s="31"/>
      <c r="AL18" s="61"/>
      <c r="AM18" s="60"/>
      <c r="AN18" s="31"/>
      <c r="AO18" s="61"/>
      <c r="AP18" s="60"/>
      <c r="AQ18" s="31"/>
      <c r="AR18" s="61"/>
      <c r="AS18" s="60"/>
      <c r="AT18" s="31"/>
      <c r="AU18" s="61"/>
      <c r="AV18" s="60"/>
      <c r="AW18" s="31"/>
      <c r="AX18" s="61"/>
    </row>
    <row r="19" ht="30.75" customHeight="1">
      <c r="A19" s="62"/>
      <c r="B19" s="88">
        <v>6.000010121E9</v>
      </c>
      <c r="C19" s="136" t="s">
        <v>553</v>
      </c>
      <c r="D19" s="51" t="s">
        <v>139</v>
      </c>
      <c r="E19" s="88" t="s">
        <v>511</v>
      </c>
      <c r="F19" s="51">
        <v>2.0</v>
      </c>
      <c r="G19" s="51">
        <v>3000.0</v>
      </c>
      <c r="H19" s="128">
        <f>'PAINEL DE CONTROLE'!$D$6</f>
        <v>13742</v>
      </c>
      <c r="I19" s="88"/>
      <c r="J19" s="88">
        <f t="shared" si="1"/>
        <v>3000</v>
      </c>
      <c r="K19" s="130">
        <f t="shared" si="2"/>
        <v>-10742</v>
      </c>
      <c r="L19" s="60"/>
      <c r="M19" s="31"/>
      <c r="N19" s="61"/>
      <c r="O19" s="60"/>
      <c r="P19" s="31"/>
      <c r="Q19" s="61"/>
      <c r="R19" s="60"/>
      <c r="S19" s="31"/>
      <c r="T19" s="61"/>
      <c r="U19" s="60"/>
      <c r="V19" s="31"/>
      <c r="W19" s="61"/>
      <c r="X19" s="60"/>
      <c r="Y19" s="31"/>
      <c r="Z19" s="61"/>
      <c r="AA19" s="60"/>
      <c r="AB19" s="31"/>
      <c r="AC19" s="61"/>
      <c r="AD19" s="60"/>
      <c r="AE19" s="31"/>
      <c r="AF19" s="61"/>
      <c r="AG19" s="60"/>
      <c r="AH19" s="31"/>
      <c r="AI19" s="61"/>
      <c r="AJ19" s="60"/>
      <c r="AK19" s="31"/>
      <c r="AL19" s="61"/>
      <c r="AM19" s="60"/>
      <c r="AN19" s="31"/>
      <c r="AO19" s="61"/>
      <c r="AP19" s="60"/>
      <c r="AQ19" s="31"/>
      <c r="AR19" s="61"/>
      <c r="AS19" s="60"/>
      <c r="AT19" s="31"/>
      <c r="AU19" s="61"/>
      <c r="AV19" s="60"/>
      <c r="AW19" s="31"/>
      <c r="AX19" s="61"/>
    </row>
    <row r="20" ht="30.75" customHeight="1">
      <c r="A20" s="62"/>
      <c r="B20" s="88">
        <v>6.000011685E9</v>
      </c>
      <c r="C20" s="136" t="s">
        <v>554</v>
      </c>
      <c r="D20" s="51" t="s">
        <v>139</v>
      </c>
      <c r="E20" s="88" t="s">
        <v>511</v>
      </c>
      <c r="F20" s="51">
        <v>2.0</v>
      </c>
      <c r="G20" s="51">
        <v>3000.0</v>
      </c>
      <c r="H20" s="128">
        <f>'PAINEL DE CONTROLE'!$D$6</f>
        <v>13742</v>
      </c>
      <c r="I20" s="88"/>
      <c r="J20" s="88">
        <f t="shared" si="1"/>
        <v>3000</v>
      </c>
      <c r="K20" s="130">
        <f t="shared" si="2"/>
        <v>-10742</v>
      </c>
      <c r="L20" s="60"/>
      <c r="M20" s="31"/>
      <c r="N20" s="61"/>
      <c r="O20" s="60"/>
      <c r="P20" s="31"/>
      <c r="Q20" s="61"/>
      <c r="R20" s="60"/>
      <c r="S20" s="31"/>
      <c r="T20" s="61"/>
      <c r="U20" s="60"/>
      <c r="V20" s="31"/>
      <c r="W20" s="61"/>
      <c r="X20" s="60"/>
      <c r="Y20" s="31"/>
      <c r="Z20" s="61"/>
      <c r="AA20" s="60"/>
      <c r="AB20" s="31"/>
      <c r="AC20" s="61"/>
      <c r="AD20" s="60"/>
      <c r="AE20" s="31"/>
      <c r="AF20" s="61"/>
      <c r="AG20" s="60"/>
      <c r="AH20" s="31"/>
      <c r="AI20" s="61"/>
      <c r="AJ20" s="60"/>
      <c r="AK20" s="31"/>
      <c r="AL20" s="61"/>
      <c r="AM20" s="60"/>
      <c r="AN20" s="31"/>
      <c r="AO20" s="61"/>
      <c r="AP20" s="60"/>
      <c r="AQ20" s="31"/>
      <c r="AR20" s="61"/>
      <c r="AS20" s="60"/>
      <c r="AT20" s="31"/>
      <c r="AU20" s="61"/>
      <c r="AV20" s="60"/>
      <c r="AW20" s="31"/>
      <c r="AX20" s="61"/>
    </row>
    <row r="21" ht="30.75" customHeight="1">
      <c r="A21" s="62"/>
      <c r="B21" s="88">
        <v>6.000001724E9</v>
      </c>
      <c r="C21" s="136" t="s">
        <v>555</v>
      </c>
      <c r="D21" s="51" t="s">
        <v>556</v>
      </c>
      <c r="E21" s="137" t="s">
        <v>511</v>
      </c>
      <c r="F21" s="51">
        <v>2.0</v>
      </c>
      <c r="G21" s="51">
        <v>3000.0</v>
      </c>
      <c r="H21" s="128">
        <f>'PAINEL DE CONTROLE'!$D$6</f>
        <v>13742</v>
      </c>
      <c r="I21" s="88"/>
      <c r="J21" s="88">
        <f t="shared" si="1"/>
        <v>3000</v>
      </c>
      <c r="K21" s="130">
        <f t="shared" si="2"/>
        <v>-10742</v>
      </c>
      <c r="L21" s="60"/>
      <c r="M21" s="31"/>
      <c r="N21" s="61"/>
      <c r="O21" s="60"/>
      <c r="P21" s="31"/>
      <c r="Q21" s="61"/>
      <c r="R21" s="60"/>
      <c r="S21" s="31"/>
      <c r="T21" s="61"/>
      <c r="U21" s="60"/>
      <c r="V21" s="31"/>
      <c r="W21" s="61"/>
      <c r="X21" s="60"/>
      <c r="Y21" s="31"/>
      <c r="Z21" s="61"/>
      <c r="AA21" s="60"/>
      <c r="AB21" s="31"/>
      <c r="AC21" s="61"/>
      <c r="AD21" s="60"/>
      <c r="AE21" s="31"/>
      <c r="AF21" s="61"/>
      <c r="AG21" s="60"/>
      <c r="AH21" s="31"/>
      <c r="AI21" s="61"/>
      <c r="AJ21" s="60"/>
      <c r="AK21" s="31"/>
      <c r="AL21" s="61"/>
      <c r="AM21" s="60"/>
      <c r="AN21" s="31"/>
      <c r="AO21" s="61"/>
      <c r="AP21" s="60"/>
      <c r="AQ21" s="31"/>
      <c r="AR21" s="61"/>
      <c r="AS21" s="60"/>
      <c r="AT21" s="31"/>
      <c r="AU21" s="61"/>
      <c r="AV21" s="60"/>
      <c r="AW21" s="31"/>
      <c r="AX21" s="61"/>
    </row>
    <row r="22" ht="30.75" customHeight="1">
      <c r="A22" s="62"/>
      <c r="B22" s="88">
        <v>6.000001591E9</v>
      </c>
      <c r="C22" s="136" t="s">
        <v>557</v>
      </c>
      <c r="D22" s="51" t="s">
        <v>558</v>
      </c>
      <c r="E22" s="137" t="s">
        <v>511</v>
      </c>
      <c r="F22" s="51">
        <v>4.0</v>
      </c>
      <c r="G22" s="51">
        <v>3000.0</v>
      </c>
      <c r="H22" s="128">
        <f>'PAINEL DE CONTROLE'!$D$6</f>
        <v>13742</v>
      </c>
      <c r="I22" s="88"/>
      <c r="J22" s="88">
        <f t="shared" si="1"/>
        <v>3000</v>
      </c>
      <c r="K22" s="130">
        <f t="shared" si="2"/>
        <v>-10742</v>
      </c>
      <c r="L22" s="60"/>
      <c r="M22" s="31"/>
      <c r="N22" s="61"/>
      <c r="O22" s="60"/>
      <c r="P22" s="31"/>
      <c r="Q22" s="61"/>
      <c r="R22" s="60"/>
      <c r="S22" s="31"/>
      <c r="T22" s="61"/>
      <c r="U22" s="60"/>
      <c r="V22" s="31"/>
      <c r="W22" s="61"/>
      <c r="X22" s="60"/>
      <c r="Y22" s="31"/>
      <c r="Z22" s="61"/>
      <c r="AA22" s="60"/>
      <c r="AB22" s="31"/>
      <c r="AC22" s="61"/>
      <c r="AD22" s="60"/>
      <c r="AE22" s="31"/>
      <c r="AF22" s="61"/>
      <c r="AG22" s="60"/>
      <c r="AH22" s="31"/>
      <c r="AI22" s="61"/>
      <c r="AJ22" s="60"/>
      <c r="AK22" s="31"/>
      <c r="AL22" s="61"/>
      <c r="AM22" s="60"/>
      <c r="AN22" s="31"/>
      <c r="AO22" s="61"/>
      <c r="AP22" s="60"/>
      <c r="AQ22" s="31"/>
      <c r="AR22" s="61"/>
      <c r="AS22" s="60"/>
      <c r="AT22" s="31"/>
      <c r="AU22" s="61"/>
      <c r="AV22" s="60"/>
      <c r="AW22" s="31"/>
      <c r="AX22" s="61"/>
    </row>
    <row r="23" ht="30.75" customHeight="1">
      <c r="A23" s="62"/>
      <c r="B23" s="88">
        <v>6.000009323E9</v>
      </c>
      <c r="C23" s="136" t="s">
        <v>559</v>
      </c>
      <c r="D23" s="51" t="s">
        <v>139</v>
      </c>
      <c r="E23" s="137" t="s">
        <v>511</v>
      </c>
      <c r="F23" s="51">
        <v>2.0</v>
      </c>
      <c r="G23" s="51">
        <v>3000.0</v>
      </c>
      <c r="H23" s="128">
        <f>'PAINEL DE CONTROLE'!$D$6</f>
        <v>13742</v>
      </c>
      <c r="I23" s="88"/>
      <c r="J23" s="88">
        <f t="shared" si="1"/>
        <v>3000</v>
      </c>
      <c r="K23" s="130">
        <f t="shared" si="2"/>
        <v>-10742</v>
      </c>
      <c r="L23" s="60"/>
      <c r="M23" s="31"/>
      <c r="N23" s="61"/>
      <c r="O23" s="60"/>
      <c r="P23" s="31"/>
      <c r="Q23" s="61"/>
      <c r="R23" s="60"/>
      <c r="S23" s="31"/>
      <c r="T23" s="61"/>
      <c r="U23" s="60"/>
      <c r="V23" s="31"/>
      <c r="W23" s="61"/>
      <c r="X23" s="60"/>
      <c r="Y23" s="31"/>
      <c r="Z23" s="61"/>
      <c r="AA23" s="60"/>
      <c r="AB23" s="31"/>
      <c r="AC23" s="61"/>
      <c r="AD23" s="60"/>
      <c r="AE23" s="31"/>
      <c r="AF23" s="61"/>
      <c r="AG23" s="60"/>
      <c r="AH23" s="31"/>
      <c r="AI23" s="61"/>
      <c r="AJ23" s="60"/>
      <c r="AK23" s="31"/>
      <c r="AL23" s="61"/>
      <c r="AM23" s="60"/>
      <c r="AN23" s="31"/>
      <c r="AO23" s="61"/>
      <c r="AP23" s="60"/>
      <c r="AQ23" s="31"/>
      <c r="AR23" s="61"/>
      <c r="AS23" s="60"/>
      <c r="AT23" s="31"/>
      <c r="AU23" s="61"/>
      <c r="AV23" s="60"/>
      <c r="AW23" s="31"/>
      <c r="AX23" s="61"/>
    </row>
    <row r="24" ht="30.75" customHeight="1">
      <c r="A24" s="62"/>
      <c r="B24" s="88">
        <v>6.000001717E9</v>
      </c>
      <c r="C24" s="136" t="s">
        <v>560</v>
      </c>
      <c r="D24" s="51" t="s">
        <v>558</v>
      </c>
      <c r="E24" s="137" t="s">
        <v>511</v>
      </c>
      <c r="F24" s="51">
        <v>4.0</v>
      </c>
      <c r="G24" s="51">
        <v>3000.0</v>
      </c>
      <c r="H24" s="128">
        <f>'PAINEL DE CONTROLE'!$D$6</f>
        <v>13742</v>
      </c>
      <c r="I24" s="88"/>
      <c r="J24" s="88">
        <f t="shared" si="1"/>
        <v>3000</v>
      </c>
      <c r="K24" s="130">
        <f t="shared" si="2"/>
        <v>-10742</v>
      </c>
      <c r="L24" s="60"/>
      <c r="M24" s="31"/>
      <c r="N24" s="61"/>
      <c r="O24" s="60"/>
      <c r="P24" s="31"/>
      <c r="Q24" s="61"/>
      <c r="R24" s="60"/>
      <c r="S24" s="31"/>
      <c r="T24" s="61"/>
      <c r="U24" s="60"/>
      <c r="V24" s="31"/>
      <c r="W24" s="61"/>
      <c r="X24" s="60"/>
      <c r="Y24" s="31"/>
      <c r="Z24" s="61"/>
      <c r="AA24" s="60"/>
      <c r="AB24" s="31"/>
      <c r="AC24" s="61"/>
      <c r="AD24" s="60"/>
      <c r="AE24" s="31"/>
      <c r="AF24" s="61"/>
      <c r="AG24" s="60"/>
      <c r="AH24" s="31"/>
      <c r="AI24" s="61"/>
      <c r="AJ24" s="60"/>
      <c r="AK24" s="31"/>
      <c r="AL24" s="61"/>
      <c r="AM24" s="60"/>
      <c r="AN24" s="31"/>
      <c r="AO24" s="61"/>
      <c r="AP24" s="60"/>
      <c r="AQ24" s="31"/>
      <c r="AR24" s="61"/>
      <c r="AS24" s="60"/>
      <c r="AT24" s="31"/>
      <c r="AU24" s="61"/>
      <c r="AV24" s="60"/>
      <c r="AW24" s="31"/>
      <c r="AX24" s="61"/>
    </row>
    <row r="25" ht="30.75" customHeight="1">
      <c r="A25" s="63"/>
      <c r="B25" s="88">
        <v>6.000001606E9</v>
      </c>
      <c r="C25" s="136" t="s">
        <v>561</v>
      </c>
      <c r="D25" s="51" t="s">
        <v>556</v>
      </c>
      <c r="E25" s="137" t="s">
        <v>511</v>
      </c>
      <c r="F25" s="51">
        <v>2.0</v>
      </c>
      <c r="G25" s="51">
        <v>3000.0</v>
      </c>
      <c r="H25" s="128">
        <f>'PAINEL DE CONTROLE'!$D$6</f>
        <v>13742</v>
      </c>
      <c r="I25" s="88"/>
      <c r="J25" s="88">
        <f t="shared" si="1"/>
        <v>3000</v>
      </c>
      <c r="K25" s="130">
        <f t="shared" si="2"/>
        <v>-10742</v>
      </c>
      <c r="L25" s="60"/>
      <c r="M25" s="31"/>
      <c r="N25" s="61"/>
      <c r="O25" s="60"/>
      <c r="P25" s="31"/>
      <c r="Q25" s="61"/>
      <c r="R25" s="60"/>
      <c r="S25" s="31"/>
      <c r="T25" s="61"/>
      <c r="U25" s="60"/>
      <c r="V25" s="31"/>
      <c r="W25" s="61"/>
      <c r="X25" s="60"/>
      <c r="Y25" s="31"/>
      <c r="Z25" s="61"/>
      <c r="AA25" s="60"/>
      <c r="AB25" s="31"/>
      <c r="AC25" s="61"/>
      <c r="AD25" s="60"/>
      <c r="AE25" s="31"/>
      <c r="AF25" s="61"/>
      <c r="AG25" s="60"/>
      <c r="AH25" s="31"/>
      <c r="AI25" s="61"/>
      <c r="AJ25" s="60"/>
      <c r="AK25" s="31"/>
      <c r="AL25" s="61"/>
      <c r="AM25" s="60"/>
      <c r="AN25" s="31"/>
      <c r="AO25" s="61"/>
      <c r="AP25" s="60"/>
      <c r="AQ25" s="31"/>
      <c r="AR25" s="61"/>
      <c r="AS25" s="60"/>
      <c r="AT25" s="31"/>
      <c r="AU25" s="61"/>
      <c r="AV25" s="60"/>
      <c r="AW25" s="31"/>
      <c r="AX25" s="61"/>
    </row>
    <row r="26" ht="30.75" customHeight="1">
      <c r="A26" s="138" t="s">
        <v>33</v>
      </c>
      <c r="B26" s="86" t="s">
        <v>562</v>
      </c>
      <c r="C26" s="88" t="s">
        <v>563</v>
      </c>
      <c r="D26" s="88" t="s">
        <v>564</v>
      </c>
      <c r="E26" s="88" t="s">
        <v>565</v>
      </c>
      <c r="F26" s="88">
        <v>4.0</v>
      </c>
      <c r="G26" s="88">
        <v>8000.0</v>
      </c>
      <c r="H26" s="128">
        <f>'PAINEL DE CONTROLE'!$D$6</f>
        <v>13742</v>
      </c>
      <c r="I26" s="88"/>
      <c r="J26" s="88">
        <f t="shared" si="1"/>
        <v>8000</v>
      </c>
      <c r="K26" s="130">
        <f t="shared" si="2"/>
        <v>-5742</v>
      </c>
      <c r="L26" s="60"/>
      <c r="M26" s="31"/>
      <c r="N26" s="61"/>
      <c r="O26" s="60"/>
      <c r="P26" s="31"/>
      <c r="Q26" s="61"/>
      <c r="R26" s="60"/>
      <c r="S26" s="31"/>
      <c r="T26" s="61"/>
      <c r="U26" s="60"/>
      <c r="V26" s="31"/>
      <c r="W26" s="61"/>
      <c r="X26" s="60"/>
      <c r="Y26" s="31"/>
      <c r="Z26" s="61"/>
      <c r="AA26" s="60"/>
      <c r="AB26" s="31"/>
      <c r="AC26" s="61"/>
      <c r="AD26" s="60"/>
      <c r="AE26" s="31"/>
      <c r="AF26" s="61"/>
      <c r="AG26" s="60"/>
      <c r="AH26" s="31"/>
      <c r="AI26" s="61"/>
      <c r="AJ26" s="60"/>
      <c r="AK26" s="31"/>
      <c r="AL26" s="61"/>
      <c r="AM26" s="60"/>
      <c r="AN26" s="31"/>
      <c r="AO26" s="61"/>
      <c r="AP26" s="60"/>
      <c r="AQ26" s="31"/>
      <c r="AR26" s="61"/>
      <c r="AS26" s="60"/>
      <c r="AT26" s="31"/>
      <c r="AU26" s="61"/>
      <c r="AV26" s="60"/>
      <c r="AW26" s="31"/>
      <c r="AX26" s="61"/>
    </row>
    <row r="27" ht="30.75" customHeight="1">
      <c r="A27" s="62"/>
      <c r="B27" s="86" t="s">
        <v>566</v>
      </c>
      <c r="C27" s="88" t="s">
        <v>567</v>
      </c>
      <c r="D27" s="88" t="s">
        <v>568</v>
      </c>
      <c r="E27" s="88" t="s">
        <v>565</v>
      </c>
      <c r="F27" s="88">
        <v>3.0</v>
      </c>
      <c r="G27" s="88">
        <v>8000.0</v>
      </c>
      <c r="H27" s="128">
        <f>'PAINEL DE CONTROLE'!$D$6</f>
        <v>13742</v>
      </c>
      <c r="I27" s="88" t="str">
        <f t="shared" ref="I27:I28" si="5">$I$26</f>
        <v/>
      </c>
      <c r="J27" s="88">
        <f t="shared" si="1"/>
        <v>8000</v>
      </c>
      <c r="K27" s="130">
        <f t="shared" si="2"/>
        <v>-5742</v>
      </c>
      <c r="L27" s="60"/>
      <c r="M27" s="31"/>
      <c r="N27" s="61"/>
      <c r="O27" s="60"/>
      <c r="P27" s="31"/>
      <c r="Q27" s="61"/>
      <c r="R27" s="60"/>
      <c r="S27" s="31"/>
      <c r="T27" s="61"/>
      <c r="U27" s="60"/>
      <c r="V27" s="31"/>
      <c r="W27" s="61"/>
      <c r="X27" s="60"/>
      <c r="Y27" s="31"/>
      <c r="Z27" s="61"/>
      <c r="AA27" s="60"/>
      <c r="AB27" s="31"/>
      <c r="AC27" s="61"/>
      <c r="AD27" s="60"/>
      <c r="AE27" s="31"/>
      <c r="AF27" s="61"/>
      <c r="AG27" s="60"/>
      <c r="AH27" s="31"/>
      <c r="AI27" s="61"/>
      <c r="AJ27" s="60"/>
      <c r="AK27" s="31"/>
      <c r="AL27" s="61"/>
      <c r="AM27" s="60"/>
      <c r="AN27" s="31"/>
      <c r="AO27" s="61"/>
      <c r="AP27" s="60"/>
      <c r="AQ27" s="31"/>
      <c r="AR27" s="61"/>
      <c r="AS27" s="60"/>
      <c r="AT27" s="31"/>
      <c r="AU27" s="61"/>
      <c r="AV27" s="60"/>
      <c r="AW27" s="31"/>
      <c r="AX27" s="61"/>
    </row>
    <row r="28" ht="30.75" customHeight="1">
      <c r="A28" s="63"/>
      <c r="B28" s="51" t="s">
        <v>569</v>
      </c>
      <c r="C28" s="88" t="s">
        <v>570</v>
      </c>
      <c r="D28" s="51" t="s">
        <v>571</v>
      </c>
      <c r="E28" s="88" t="s">
        <v>511</v>
      </c>
      <c r="F28" s="88">
        <v>3.0</v>
      </c>
      <c r="G28" s="88">
        <v>8000.0</v>
      </c>
      <c r="H28" s="128">
        <f>'PAINEL DE CONTROLE'!$D$6</f>
        <v>13742</v>
      </c>
      <c r="I28" s="88" t="str">
        <f t="shared" si="5"/>
        <v/>
      </c>
      <c r="J28" s="88">
        <f t="shared" si="1"/>
        <v>8000</v>
      </c>
      <c r="K28" s="130">
        <f t="shared" si="2"/>
        <v>-5742</v>
      </c>
      <c r="L28" s="60"/>
      <c r="M28" s="31"/>
      <c r="N28" s="61"/>
      <c r="O28" s="60"/>
      <c r="P28" s="31"/>
      <c r="Q28" s="61"/>
      <c r="R28" s="60"/>
      <c r="S28" s="31"/>
      <c r="T28" s="61"/>
      <c r="U28" s="60"/>
      <c r="V28" s="31"/>
      <c r="W28" s="61"/>
      <c r="X28" s="60"/>
      <c r="Y28" s="31"/>
      <c r="Z28" s="61"/>
      <c r="AA28" s="60"/>
      <c r="AB28" s="31"/>
      <c r="AC28" s="61"/>
      <c r="AD28" s="60"/>
      <c r="AE28" s="31"/>
      <c r="AF28" s="61"/>
      <c r="AG28" s="60"/>
      <c r="AH28" s="31"/>
      <c r="AI28" s="61"/>
      <c r="AJ28" s="60"/>
      <c r="AK28" s="31"/>
      <c r="AL28" s="61"/>
      <c r="AM28" s="60"/>
      <c r="AN28" s="31"/>
      <c r="AO28" s="61"/>
      <c r="AP28" s="60"/>
      <c r="AQ28" s="31"/>
      <c r="AR28" s="61"/>
      <c r="AS28" s="60"/>
      <c r="AT28" s="31"/>
      <c r="AU28" s="61"/>
      <c r="AV28" s="60"/>
      <c r="AW28" s="31"/>
      <c r="AX28" s="61"/>
    </row>
    <row r="29" ht="30.75" customHeight="1">
      <c r="A29" s="64" t="s">
        <v>572</v>
      </c>
      <c r="B29" s="65" t="s">
        <v>573</v>
      </c>
      <c r="C29" s="51" t="s">
        <v>574</v>
      </c>
      <c r="D29" s="88" t="s">
        <v>575</v>
      </c>
      <c r="E29" s="88" t="s">
        <v>511</v>
      </c>
      <c r="F29" s="88">
        <v>1.0</v>
      </c>
      <c r="G29" s="88">
        <v>8000.0</v>
      </c>
      <c r="H29" s="128">
        <f>'PAINEL DE CONTROLE'!$D$6</f>
        <v>13742</v>
      </c>
      <c r="I29" s="88"/>
      <c r="J29" s="88">
        <f t="shared" si="1"/>
        <v>8000</v>
      </c>
      <c r="K29" s="130">
        <f t="shared" si="2"/>
        <v>-5742</v>
      </c>
      <c r="L29" s="60"/>
      <c r="M29" s="31"/>
      <c r="N29" s="61"/>
      <c r="O29" s="60"/>
      <c r="P29" s="31"/>
      <c r="Q29" s="61"/>
      <c r="R29" s="60"/>
      <c r="S29" s="31"/>
      <c r="T29" s="61"/>
      <c r="U29" s="60"/>
      <c r="V29" s="31"/>
      <c r="W29" s="61"/>
      <c r="X29" s="60"/>
      <c r="Y29" s="31"/>
      <c r="Z29" s="61"/>
      <c r="AA29" s="60"/>
      <c r="AB29" s="31"/>
      <c r="AC29" s="61"/>
      <c r="AD29" s="60"/>
      <c r="AE29" s="31"/>
      <c r="AF29" s="61"/>
      <c r="AG29" s="60"/>
      <c r="AH29" s="31"/>
      <c r="AI29" s="61"/>
      <c r="AJ29" s="60"/>
      <c r="AK29" s="31"/>
      <c r="AL29" s="61"/>
      <c r="AM29" s="60"/>
      <c r="AN29" s="31"/>
      <c r="AO29" s="61"/>
      <c r="AP29" s="60"/>
      <c r="AQ29" s="31"/>
      <c r="AR29" s="61"/>
      <c r="AS29" s="60"/>
      <c r="AT29" s="31"/>
      <c r="AU29" s="61"/>
      <c r="AV29" s="60"/>
      <c r="AW29" s="31"/>
      <c r="AX29" s="61"/>
    </row>
    <row r="30" ht="30.75" customHeight="1">
      <c r="A30" s="63"/>
      <c r="B30" s="65" t="s">
        <v>576</v>
      </c>
      <c r="C30" s="51" t="s">
        <v>577</v>
      </c>
      <c r="D30" s="88" t="s">
        <v>578</v>
      </c>
      <c r="E30" s="88" t="s">
        <v>511</v>
      </c>
      <c r="F30" s="88">
        <v>1.0</v>
      </c>
      <c r="G30" s="88">
        <v>8000.0</v>
      </c>
      <c r="H30" s="128">
        <f>'PAINEL DE CONTROLE'!$D$6</f>
        <v>13742</v>
      </c>
      <c r="I30" s="88"/>
      <c r="J30" s="88">
        <f t="shared" si="1"/>
        <v>8000</v>
      </c>
      <c r="K30" s="130">
        <f t="shared" si="2"/>
        <v>-5742</v>
      </c>
      <c r="L30" s="107"/>
      <c r="M30" s="108"/>
      <c r="N30" s="109"/>
      <c r="O30" s="107"/>
      <c r="P30" s="108"/>
      <c r="Q30" s="109"/>
      <c r="R30" s="107"/>
      <c r="S30" s="108"/>
      <c r="T30" s="109"/>
      <c r="U30" s="107"/>
      <c r="V30" s="108"/>
      <c r="W30" s="109"/>
      <c r="X30" s="107"/>
      <c r="Y30" s="108"/>
      <c r="Z30" s="109"/>
      <c r="AA30" s="107"/>
      <c r="AB30" s="108"/>
      <c r="AC30" s="109"/>
      <c r="AD30" s="107"/>
      <c r="AE30" s="108"/>
      <c r="AF30" s="109"/>
      <c r="AG30" s="107"/>
      <c r="AH30" s="108"/>
      <c r="AI30" s="109"/>
      <c r="AJ30" s="107"/>
      <c r="AK30" s="108"/>
      <c r="AL30" s="109"/>
      <c r="AM30" s="107"/>
      <c r="AN30" s="108"/>
      <c r="AO30" s="109"/>
      <c r="AP30" s="107"/>
      <c r="AQ30" s="108"/>
      <c r="AR30" s="109"/>
      <c r="AS30" s="107"/>
      <c r="AT30" s="108"/>
      <c r="AU30" s="109"/>
      <c r="AV30" s="107"/>
      <c r="AW30" s="108"/>
      <c r="AX30" s="10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6:A28"/>
    <mergeCell ref="A29:A30"/>
    <mergeCell ref="A1:K1"/>
    <mergeCell ref="A3:A8"/>
    <mergeCell ref="B10:C10"/>
    <mergeCell ref="B11:C11"/>
    <mergeCell ref="B12:C12"/>
    <mergeCell ref="A13:A14"/>
    <mergeCell ref="A15:A25"/>
  </mergeCells>
  <conditionalFormatting sqref="K2 K10:K30">
    <cfRule type="cellIs" dxfId="4" priority="1" operator="between">
      <formula>0</formula>
      <formula>720</formula>
    </cfRule>
  </conditionalFormatting>
  <conditionalFormatting sqref="K2 K10:K30">
    <cfRule type="cellIs" dxfId="2" priority="2" operator="between">
      <formula>0</formula>
      <formula>-100</formula>
    </cfRule>
  </conditionalFormatting>
  <conditionalFormatting sqref="K2:K30">
    <cfRule type="cellIs" dxfId="0" priority="3" operator="lessThan">
      <formula>-101</formula>
    </cfRule>
  </conditionalFormatting>
  <conditionalFormatting sqref="K2:K30">
    <cfRule type="containsBlanks" dxfId="1" priority="4">
      <formula>LEN(TRIM(K2))=0</formula>
    </cfRule>
  </conditionalFormatting>
  <conditionalFormatting sqref="K3:K9">
    <cfRule type="cellIs" dxfId="2" priority="5" operator="between">
      <formula>0</formula>
      <formula>-100</formula>
    </cfRule>
  </conditionalFormatting>
  <conditionalFormatting sqref="K3:K9">
    <cfRule type="cellIs" dxfId="5" priority="6" operator="between">
      <formula>1</formula>
      <formula>100</formula>
    </cfRule>
  </conditionalFormatting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2.57"/>
    <col customWidth="1" min="3" max="3" width="20.14"/>
    <col customWidth="1" min="4" max="4" width="19.57"/>
    <col customWidth="1" min="5" max="5" width="77.0"/>
    <col customWidth="1" min="6" max="6" width="11.86"/>
    <col customWidth="1" min="7" max="7" width="18.14"/>
    <col customWidth="1" min="8" max="8" width="15.71"/>
    <col customWidth="1" min="9" max="9" width="16.0"/>
    <col customWidth="1" min="10" max="10" width="16.71"/>
    <col customWidth="1" min="11" max="11" width="16.14"/>
    <col customWidth="1" min="12" max="12" width="23.14"/>
    <col customWidth="1" min="13" max="13" width="55.71"/>
    <col customWidth="1" min="14" max="15" width="23.14"/>
    <col customWidth="1" min="16" max="16" width="55.71"/>
    <col customWidth="1" min="17" max="18" width="23.14"/>
    <col customWidth="1" min="19" max="19" width="55.71"/>
    <col customWidth="1" min="20" max="21" width="23.14"/>
    <col customWidth="1" min="22" max="22" width="55.71"/>
    <col customWidth="1" min="23" max="24" width="23.14"/>
    <col customWidth="1" min="25" max="25" width="55.71"/>
    <col customWidth="1" min="26" max="27" width="23.14"/>
    <col customWidth="1" min="28" max="28" width="55.71"/>
    <col customWidth="1" min="29" max="30" width="23.14"/>
    <col customWidth="1" min="31" max="31" width="55.71"/>
    <col customWidth="1" min="32" max="33" width="23.14"/>
    <col customWidth="1" min="34" max="34" width="55.71"/>
    <col customWidth="1" min="35" max="36" width="23.14"/>
    <col customWidth="1" min="37" max="37" width="55.71"/>
    <col customWidth="1" min="38" max="39" width="23.14"/>
    <col customWidth="1" min="40" max="40" width="55.71"/>
    <col customWidth="1" min="41" max="42" width="23.14"/>
    <col customWidth="1" min="43" max="43" width="55.71"/>
    <col customWidth="1" min="44" max="45" width="23.14"/>
    <col customWidth="1" min="46" max="46" width="55.71"/>
    <col customWidth="1" min="47" max="48" width="23.14"/>
    <col customWidth="1" min="49" max="49" width="55.71"/>
    <col customWidth="1" min="50" max="50" width="23.14"/>
  </cols>
  <sheetData>
    <row r="1" ht="40.5" customHeight="1">
      <c r="A1" s="36" t="s">
        <v>579</v>
      </c>
      <c r="B1" s="37"/>
      <c r="C1" s="37"/>
      <c r="D1" s="37"/>
      <c r="E1" s="37"/>
      <c r="F1" s="37"/>
      <c r="G1" s="37"/>
      <c r="H1" s="37"/>
      <c r="I1" s="37"/>
      <c r="J1" s="37"/>
      <c r="K1" s="38"/>
      <c r="L1" s="139"/>
      <c r="M1" s="140"/>
      <c r="N1" s="141"/>
      <c r="O1" s="139"/>
      <c r="P1" s="140"/>
      <c r="Q1" s="141"/>
      <c r="R1" s="139"/>
      <c r="S1" s="140"/>
      <c r="T1" s="141"/>
      <c r="U1" s="139"/>
      <c r="V1" s="140"/>
      <c r="W1" s="141"/>
      <c r="X1" s="139"/>
      <c r="Y1" s="140"/>
      <c r="Z1" s="141"/>
      <c r="AA1" s="139"/>
      <c r="AB1" s="140"/>
      <c r="AC1" s="141"/>
      <c r="AD1" s="139"/>
      <c r="AE1" s="140"/>
      <c r="AF1" s="141"/>
      <c r="AG1" s="139"/>
      <c r="AH1" s="140"/>
      <c r="AI1" s="141"/>
      <c r="AJ1" s="139"/>
      <c r="AK1" s="140"/>
      <c r="AL1" s="141"/>
      <c r="AM1" s="139"/>
      <c r="AN1" s="140"/>
      <c r="AO1" s="141"/>
      <c r="AP1" s="139"/>
      <c r="AQ1" s="140"/>
      <c r="AR1" s="141"/>
      <c r="AS1" s="139"/>
      <c r="AT1" s="140"/>
      <c r="AU1" s="141"/>
      <c r="AV1" s="139"/>
      <c r="AW1" s="140"/>
      <c r="AX1" s="141"/>
    </row>
    <row r="2" ht="39.75" customHeight="1">
      <c r="A2" s="142" t="s">
        <v>96</v>
      </c>
      <c r="B2" s="143" t="s">
        <v>97</v>
      </c>
      <c r="C2" s="144" t="s">
        <v>98</v>
      </c>
      <c r="D2" s="143" t="s">
        <v>99</v>
      </c>
      <c r="E2" s="143" t="s">
        <v>100</v>
      </c>
      <c r="F2" s="145" t="s">
        <v>101</v>
      </c>
      <c r="G2" s="142" t="s">
        <v>506</v>
      </c>
      <c r="H2" s="142" t="s">
        <v>103</v>
      </c>
      <c r="I2" s="142" t="s">
        <v>104</v>
      </c>
      <c r="J2" s="142" t="s">
        <v>105</v>
      </c>
      <c r="K2" s="146" t="s">
        <v>106</v>
      </c>
      <c r="L2" s="47" t="s">
        <v>107</v>
      </c>
      <c r="M2" s="45" t="s">
        <v>108</v>
      </c>
      <c r="N2" s="126" t="s">
        <v>109</v>
      </c>
      <c r="O2" s="47" t="s">
        <v>107</v>
      </c>
      <c r="P2" s="45" t="s">
        <v>108</v>
      </c>
      <c r="Q2" s="126" t="s">
        <v>109</v>
      </c>
      <c r="R2" s="47" t="s">
        <v>107</v>
      </c>
      <c r="S2" s="45" t="s">
        <v>108</v>
      </c>
      <c r="T2" s="126" t="s">
        <v>109</v>
      </c>
      <c r="U2" s="47" t="s">
        <v>107</v>
      </c>
      <c r="V2" s="45" t="s">
        <v>108</v>
      </c>
      <c r="W2" s="126" t="s">
        <v>109</v>
      </c>
      <c r="X2" s="47" t="s">
        <v>107</v>
      </c>
      <c r="Y2" s="45" t="s">
        <v>108</v>
      </c>
      <c r="Z2" s="126" t="s">
        <v>109</v>
      </c>
      <c r="AA2" s="47" t="s">
        <v>107</v>
      </c>
      <c r="AB2" s="45" t="s">
        <v>108</v>
      </c>
      <c r="AC2" s="126" t="s">
        <v>109</v>
      </c>
      <c r="AD2" s="47" t="s">
        <v>107</v>
      </c>
      <c r="AE2" s="45" t="s">
        <v>108</v>
      </c>
      <c r="AF2" s="126" t="s">
        <v>109</v>
      </c>
      <c r="AG2" s="47" t="s">
        <v>107</v>
      </c>
      <c r="AH2" s="45" t="s">
        <v>108</v>
      </c>
      <c r="AI2" s="126" t="s">
        <v>109</v>
      </c>
      <c r="AJ2" s="47" t="s">
        <v>107</v>
      </c>
      <c r="AK2" s="45" t="s">
        <v>108</v>
      </c>
      <c r="AL2" s="126" t="s">
        <v>109</v>
      </c>
      <c r="AM2" s="47" t="s">
        <v>107</v>
      </c>
      <c r="AN2" s="45" t="s">
        <v>108</v>
      </c>
      <c r="AO2" s="126" t="s">
        <v>109</v>
      </c>
      <c r="AP2" s="47" t="s">
        <v>107</v>
      </c>
      <c r="AQ2" s="45" t="s">
        <v>108</v>
      </c>
      <c r="AR2" s="126" t="s">
        <v>109</v>
      </c>
      <c r="AS2" s="47" t="s">
        <v>107</v>
      </c>
      <c r="AT2" s="45" t="s">
        <v>108</v>
      </c>
      <c r="AU2" s="126" t="s">
        <v>109</v>
      </c>
      <c r="AV2" s="47" t="s">
        <v>107</v>
      </c>
      <c r="AW2" s="45" t="s">
        <v>108</v>
      </c>
      <c r="AX2" s="126" t="s">
        <v>109</v>
      </c>
    </row>
    <row r="3" ht="39.75" customHeight="1">
      <c r="A3" s="147" t="s">
        <v>39</v>
      </c>
      <c r="B3" s="148"/>
      <c r="C3" s="105" t="str">
        <f>VLOOKUP(D3,[1]Saldo!A2:B31275,2,0)</f>
        <v>#ERROR!</v>
      </c>
      <c r="D3" s="68" t="s">
        <v>580</v>
      </c>
      <c r="E3" s="68" t="s">
        <v>581</v>
      </c>
      <c r="F3" s="149" t="str">
        <f t="shared" ref="F3:F13" si="1">'[1]PARAMETROS PREVENTIVA'!$D168</f>
        <v>#REF!</v>
      </c>
      <c r="G3" s="68" t="str">
        <f t="shared" ref="G3:G13" si="2">'[1]PARAMETROS PREVENTIVA'!$E168</f>
        <v>#REF!</v>
      </c>
      <c r="H3" s="150">
        <f>'PAINEL DE CONTROLE'!$G$5</f>
        <v>28359</v>
      </c>
      <c r="I3" s="150">
        <v>24649.0</v>
      </c>
      <c r="J3" s="150" t="str">
        <f t="shared" ref="J3:J275" si="3">I3+G3</f>
        <v>#REF!</v>
      </c>
      <c r="K3" s="151" t="str">
        <f t="shared" ref="K3:K275" si="4">SUM(J3-H3)</f>
        <v>#REF!</v>
      </c>
      <c r="L3" s="60"/>
      <c r="M3" s="31"/>
      <c r="N3" s="61"/>
      <c r="O3" s="60"/>
      <c r="P3" s="31"/>
      <c r="Q3" s="61"/>
      <c r="R3" s="60"/>
      <c r="S3" s="31"/>
      <c r="T3" s="61"/>
      <c r="U3" s="60"/>
      <c r="V3" s="31"/>
      <c r="W3" s="61"/>
      <c r="X3" s="60"/>
      <c r="Y3" s="31"/>
      <c r="Z3" s="61"/>
      <c r="AA3" s="60"/>
      <c r="AB3" s="31"/>
      <c r="AC3" s="61"/>
      <c r="AD3" s="60"/>
      <c r="AE3" s="31"/>
      <c r="AF3" s="61"/>
      <c r="AG3" s="60"/>
      <c r="AH3" s="31"/>
      <c r="AI3" s="61"/>
      <c r="AJ3" s="60"/>
      <c r="AK3" s="31"/>
      <c r="AL3" s="61"/>
      <c r="AM3" s="60"/>
      <c r="AN3" s="31"/>
      <c r="AO3" s="61"/>
      <c r="AP3" s="60"/>
      <c r="AQ3" s="31"/>
      <c r="AR3" s="61"/>
      <c r="AS3" s="60"/>
      <c r="AT3" s="31"/>
      <c r="AU3" s="61"/>
      <c r="AV3" s="60"/>
      <c r="AW3" s="31"/>
      <c r="AX3" s="61"/>
    </row>
    <row r="4" ht="39.75" customHeight="1">
      <c r="A4" s="62"/>
      <c r="B4" s="148"/>
      <c r="C4" s="105" t="str">
        <f>VLOOKUP(D4,[1]Saldo!A3:B31276,2,0)</f>
        <v>#ERROR!</v>
      </c>
      <c r="D4" s="68" t="s">
        <v>582</v>
      </c>
      <c r="E4" s="68" t="s">
        <v>583</v>
      </c>
      <c r="F4" s="149" t="str">
        <f t="shared" si="1"/>
        <v>#REF!</v>
      </c>
      <c r="G4" s="68" t="str">
        <f t="shared" si="2"/>
        <v>#REF!</v>
      </c>
      <c r="H4" s="150">
        <f>'PAINEL DE CONTROLE'!$G$5</f>
        <v>28359</v>
      </c>
      <c r="I4" s="150">
        <v>24649.0</v>
      </c>
      <c r="J4" s="150" t="str">
        <f t="shared" si="3"/>
        <v>#REF!</v>
      </c>
      <c r="K4" s="151" t="str">
        <f t="shared" si="4"/>
        <v>#REF!</v>
      </c>
      <c r="L4" s="60"/>
      <c r="M4" s="31"/>
      <c r="N4" s="61"/>
      <c r="O4" s="60"/>
      <c r="P4" s="31"/>
      <c r="Q4" s="61"/>
      <c r="R4" s="60"/>
      <c r="S4" s="31"/>
      <c r="T4" s="61"/>
      <c r="U4" s="60"/>
      <c r="V4" s="31"/>
      <c r="W4" s="61"/>
      <c r="X4" s="60"/>
      <c r="Y4" s="31"/>
      <c r="Z4" s="61"/>
      <c r="AA4" s="60"/>
      <c r="AB4" s="31"/>
      <c r="AC4" s="61"/>
      <c r="AD4" s="60"/>
      <c r="AE4" s="31"/>
      <c r="AF4" s="61"/>
      <c r="AG4" s="60"/>
      <c r="AH4" s="31"/>
      <c r="AI4" s="61"/>
      <c r="AJ4" s="60"/>
      <c r="AK4" s="31"/>
      <c r="AL4" s="61"/>
      <c r="AM4" s="60"/>
      <c r="AN4" s="31"/>
      <c r="AO4" s="61"/>
      <c r="AP4" s="60"/>
      <c r="AQ4" s="31"/>
      <c r="AR4" s="61"/>
      <c r="AS4" s="60"/>
      <c r="AT4" s="31"/>
      <c r="AU4" s="61"/>
      <c r="AV4" s="60"/>
      <c r="AW4" s="31"/>
      <c r="AX4" s="61"/>
    </row>
    <row r="5" ht="39.75" customHeight="1">
      <c r="A5" s="62"/>
      <c r="B5" s="148"/>
      <c r="C5" s="105" t="str">
        <f>VLOOKUP(D5,[1]Saldo!A4:B31277,2,0)</f>
        <v>#ERROR!</v>
      </c>
      <c r="D5" s="68" t="s">
        <v>584</v>
      </c>
      <c r="E5" s="68" t="s">
        <v>585</v>
      </c>
      <c r="F5" s="152" t="str">
        <f t="shared" si="1"/>
        <v>#REF!</v>
      </c>
      <c r="G5" s="68" t="str">
        <f t="shared" si="2"/>
        <v>#REF!</v>
      </c>
      <c r="H5" s="150">
        <f>'PAINEL DE CONTROLE'!$G$5</f>
        <v>28359</v>
      </c>
      <c r="I5" s="150">
        <v>24649.0</v>
      </c>
      <c r="J5" s="150" t="str">
        <f t="shared" si="3"/>
        <v>#REF!</v>
      </c>
      <c r="K5" s="151" t="str">
        <f t="shared" si="4"/>
        <v>#REF!</v>
      </c>
      <c r="L5" s="60"/>
      <c r="M5" s="31"/>
      <c r="N5" s="61"/>
      <c r="O5" s="60"/>
      <c r="P5" s="31"/>
      <c r="Q5" s="61"/>
      <c r="R5" s="60"/>
      <c r="S5" s="31"/>
      <c r="T5" s="61"/>
      <c r="U5" s="60"/>
      <c r="V5" s="31"/>
      <c r="W5" s="61"/>
      <c r="X5" s="60"/>
      <c r="Y5" s="31"/>
      <c r="Z5" s="61"/>
      <c r="AA5" s="60"/>
      <c r="AB5" s="31"/>
      <c r="AC5" s="61"/>
      <c r="AD5" s="60"/>
      <c r="AE5" s="31"/>
      <c r="AF5" s="61"/>
      <c r="AG5" s="60"/>
      <c r="AH5" s="31"/>
      <c r="AI5" s="61"/>
      <c r="AJ5" s="60"/>
      <c r="AK5" s="31"/>
      <c r="AL5" s="61"/>
      <c r="AM5" s="60"/>
      <c r="AN5" s="31"/>
      <c r="AO5" s="61"/>
      <c r="AP5" s="60"/>
      <c r="AQ5" s="31"/>
      <c r="AR5" s="61"/>
      <c r="AS5" s="60"/>
      <c r="AT5" s="31"/>
      <c r="AU5" s="61"/>
      <c r="AV5" s="60"/>
      <c r="AW5" s="31"/>
      <c r="AX5" s="61"/>
    </row>
    <row r="6" ht="39.75" customHeight="1">
      <c r="A6" s="62"/>
      <c r="B6" s="148"/>
      <c r="C6" s="105" t="str">
        <f>VLOOKUP(D6,[1]Saldo!A5:B31278,2,0)</f>
        <v>#ERROR!</v>
      </c>
      <c r="D6" s="68" t="s">
        <v>586</v>
      </c>
      <c r="E6" s="68" t="s">
        <v>587</v>
      </c>
      <c r="F6" s="152" t="str">
        <f t="shared" si="1"/>
        <v>#REF!</v>
      </c>
      <c r="G6" s="68" t="str">
        <f t="shared" si="2"/>
        <v>#REF!</v>
      </c>
      <c r="H6" s="150">
        <f>'PAINEL DE CONTROLE'!$G$5</f>
        <v>28359</v>
      </c>
      <c r="I6" s="150">
        <v>24649.0</v>
      </c>
      <c r="J6" s="150" t="str">
        <f t="shared" si="3"/>
        <v>#REF!</v>
      </c>
      <c r="K6" s="151" t="str">
        <f t="shared" si="4"/>
        <v>#REF!</v>
      </c>
      <c r="L6" s="60"/>
      <c r="M6" s="31"/>
      <c r="N6" s="61"/>
      <c r="O6" s="60"/>
      <c r="P6" s="31"/>
      <c r="Q6" s="61"/>
      <c r="R6" s="60"/>
      <c r="S6" s="31"/>
      <c r="T6" s="61"/>
      <c r="U6" s="60"/>
      <c r="V6" s="31"/>
      <c r="W6" s="61"/>
      <c r="X6" s="60"/>
      <c r="Y6" s="31"/>
      <c r="Z6" s="61"/>
      <c r="AA6" s="60"/>
      <c r="AB6" s="31"/>
      <c r="AC6" s="61"/>
      <c r="AD6" s="60"/>
      <c r="AE6" s="31"/>
      <c r="AF6" s="61"/>
      <c r="AG6" s="60"/>
      <c r="AH6" s="31"/>
      <c r="AI6" s="61"/>
      <c r="AJ6" s="60"/>
      <c r="AK6" s="31"/>
      <c r="AL6" s="61"/>
      <c r="AM6" s="60"/>
      <c r="AN6" s="31"/>
      <c r="AO6" s="61"/>
      <c r="AP6" s="60"/>
      <c r="AQ6" s="31"/>
      <c r="AR6" s="61"/>
      <c r="AS6" s="60"/>
      <c r="AT6" s="31"/>
      <c r="AU6" s="61"/>
      <c r="AV6" s="60"/>
      <c r="AW6" s="31"/>
      <c r="AX6" s="61"/>
    </row>
    <row r="7" ht="39.75" customHeight="1">
      <c r="A7" s="62"/>
      <c r="B7" s="148"/>
      <c r="C7" s="105" t="str">
        <f>VLOOKUP(D7,[1]Saldo!A6:B31279,2,0)</f>
        <v>#ERROR!</v>
      </c>
      <c r="D7" s="68" t="s">
        <v>588</v>
      </c>
      <c r="E7" s="68" t="s">
        <v>589</v>
      </c>
      <c r="F7" s="152" t="str">
        <f t="shared" si="1"/>
        <v>#REF!</v>
      </c>
      <c r="G7" s="68" t="str">
        <f t="shared" si="2"/>
        <v>#REF!</v>
      </c>
      <c r="H7" s="150">
        <f>'PAINEL DE CONTROLE'!$G$5</f>
        <v>28359</v>
      </c>
      <c r="I7" s="150">
        <v>24649.0</v>
      </c>
      <c r="J7" s="150" t="str">
        <f t="shared" si="3"/>
        <v>#REF!</v>
      </c>
      <c r="K7" s="151" t="str">
        <f t="shared" si="4"/>
        <v>#REF!</v>
      </c>
      <c r="L7" s="60"/>
      <c r="M7" s="31"/>
      <c r="N7" s="61"/>
      <c r="O7" s="60"/>
      <c r="P7" s="31"/>
      <c r="Q7" s="61"/>
      <c r="R7" s="60"/>
      <c r="S7" s="31"/>
      <c r="T7" s="61"/>
      <c r="U7" s="60"/>
      <c r="V7" s="31"/>
      <c r="W7" s="61"/>
      <c r="X7" s="60"/>
      <c r="Y7" s="31"/>
      <c r="Z7" s="61"/>
      <c r="AA7" s="60"/>
      <c r="AB7" s="31"/>
      <c r="AC7" s="61"/>
      <c r="AD7" s="60"/>
      <c r="AE7" s="31"/>
      <c r="AF7" s="61"/>
      <c r="AG7" s="60"/>
      <c r="AH7" s="31"/>
      <c r="AI7" s="61"/>
      <c r="AJ7" s="60"/>
      <c r="AK7" s="31"/>
      <c r="AL7" s="61"/>
      <c r="AM7" s="60"/>
      <c r="AN7" s="31"/>
      <c r="AO7" s="61"/>
      <c r="AP7" s="60"/>
      <c r="AQ7" s="31"/>
      <c r="AR7" s="61"/>
      <c r="AS7" s="60"/>
      <c r="AT7" s="31"/>
      <c r="AU7" s="61"/>
      <c r="AV7" s="60"/>
      <c r="AW7" s="31"/>
      <c r="AX7" s="61"/>
    </row>
    <row r="8" ht="39.75" customHeight="1">
      <c r="A8" s="62"/>
      <c r="B8" s="148"/>
      <c r="C8" s="105" t="str">
        <f>VLOOKUP(D8,[1]Saldo!A7:B31280,2,0)</f>
        <v>#ERROR!</v>
      </c>
      <c r="D8" s="68" t="s">
        <v>590</v>
      </c>
      <c r="E8" s="68" t="s">
        <v>591</v>
      </c>
      <c r="F8" s="152" t="str">
        <f t="shared" si="1"/>
        <v>#REF!</v>
      </c>
      <c r="G8" s="68" t="str">
        <f t="shared" si="2"/>
        <v>#REF!</v>
      </c>
      <c r="H8" s="150">
        <f>'PAINEL DE CONTROLE'!$G$5</f>
        <v>28359</v>
      </c>
      <c r="I8" s="150">
        <v>24649.0</v>
      </c>
      <c r="J8" s="150" t="str">
        <f t="shared" si="3"/>
        <v>#REF!</v>
      </c>
      <c r="K8" s="151" t="str">
        <f t="shared" si="4"/>
        <v>#REF!</v>
      </c>
      <c r="L8" s="60"/>
      <c r="M8" s="31"/>
      <c r="N8" s="61"/>
      <c r="O8" s="60"/>
      <c r="P8" s="31"/>
      <c r="Q8" s="61"/>
      <c r="R8" s="60"/>
      <c r="S8" s="31"/>
      <c r="T8" s="61"/>
      <c r="U8" s="60"/>
      <c r="V8" s="31"/>
      <c r="W8" s="61"/>
      <c r="X8" s="60"/>
      <c r="Y8" s="31"/>
      <c r="Z8" s="61"/>
      <c r="AA8" s="60"/>
      <c r="AB8" s="31"/>
      <c r="AC8" s="61"/>
      <c r="AD8" s="60"/>
      <c r="AE8" s="31"/>
      <c r="AF8" s="61"/>
      <c r="AG8" s="60"/>
      <c r="AH8" s="31"/>
      <c r="AI8" s="61"/>
      <c r="AJ8" s="60"/>
      <c r="AK8" s="31"/>
      <c r="AL8" s="61"/>
      <c r="AM8" s="60"/>
      <c r="AN8" s="31"/>
      <c r="AO8" s="61"/>
      <c r="AP8" s="60"/>
      <c r="AQ8" s="31"/>
      <c r="AR8" s="61"/>
      <c r="AS8" s="60"/>
      <c r="AT8" s="31"/>
      <c r="AU8" s="61"/>
      <c r="AV8" s="60"/>
      <c r="AW8" s="31"/>
      <c r="AX8" s="61"/>
    </row>
    <row r="9" ht="39.75" customHeight="1">
      <c r="A9" s="62"/>
      <c r="B9" s="148"/>
      <c r="C9" s="105" t="str">
        <f>VLOOKUP(D9,[1]Saldo!A8:B31281,2,0)</f>
        <v>#ERROR!</v>
      </c>
      <c r="D9" s="68" t="s">
        <v>592</v>
      </c>
      <c r="E9" s="68" t="s">
        <v>593</v>
      </c>
      <c r="F9" s="152" t="str">
        <f t="shared" si="1"/>
        <v>#REF!</v>
      </c>
      <c r="G9" s="68" t="str">
        <f t="shared" si="2"/>
        <v>#REF!</v>
      </c>
      <c r="H9" s="150">
        <f>'PAINEL DE CONTROLE'!$G$5</f>
        <v>28359</v>
      </c>
      <c r="I9" s="150">
        <v>24649.0</v>
      </c>
      <c r="J9" s="150" t="str">
        <f t="shared" si="3"/>
        <v>#REF!</v>
      </c>
      <c r="K9" s="151" t="str">
        <f t="shared" si="4"/>
        <v>#REF!</v>
      </c>
      <c r="L9" s="60"/>
      <c r="M9" s="31"/>
      <c r="N9" s="61"/>
      <c r="O9" s="60"/>
      <c r="P9" s="31"/>
      <c r="Q9" s="61"/>
      <c r="R9" s="60"/>
      <c r="S9" s="31"/>
      <c r="T9" s="61"/>
      <c r="U9" s="60"/>
      <c r="V9" s="31"/>
      <c r="W9" s="61"/>
      <c r="X9" s="60"/>
      <c r="Y9" s="31"/>
      <c r="Z9" s="61"/>
      <c r="AA9" s="60"/>
      <c r="AB9" s="31"/>
      <c r="AC9" s="61"/>
      <c r="AD9" s="60"/>
      <c r="AE9" s="31"/>
      <c r="AF9" s="61"/>
      <c r="AG9" s="60"/>
      <c r="AH9" s="31"/>
      <c r="AI9" s="61"/>
      <c r="AJ9" s="60"/>
      <c r="AK9" s="31"/>
      <c r="AL9" s="61"/>
      <c r="AM9" s="60"/>
      <c r="AN9" s="31"/>
      <c r="AO9" s="61"/>
      <c r="AP9" s="60"/>
      <c r="AQ9" s="31"/>
      <c r="AR9" s="61"/>
      <c r="AS9" s="60"/>
      <c r="AT9" s="31"/>
      <c r="AU9" s="61"/>
      <c r="AV9" s="60"/>
      <c r="AW9" s="31"/>
      <c r="AX9" s="61"/>
    </row>
    <row r="10" ht="39.75" customHeight="1">
      <c r="A10" s="62"/>
      <c r="B10" s="148"/>
      <c r="C10" s="105" t="str">
        <f>VLOOKUP(D10,[1]Saldo!A9:B31282,2,0)</f>
        <v>#ERROR!</v>
      </c>
      <c r="D10" s="68" t="s">
        <v>594</v>
      </c>
      <c r="E10" s="68" t="s">
        <v>595</v>
      </c>
      <c r="F10" s="152" t="str">
        <f t="shared" si="1"/>
        <v>#REF!</v>
      </c>
      <c r="G10" s="68" t="str">
        <f t="shared" si="2"/>
        <v>#REF!</v>
      </c>
      <c r="H10" s="150">
        <f>'PAINEL DE CONTROLE'!$G$5</f>
        <v>28359</v>
      </c>
      <c r="I10" s="150">
        <v>24649.0</v>
      </c>
      <c r="J10" s="150" t="str">
        <f t="shared" si="3"/>
        <v>#REF!</v>
      </c>
      <c r="K10" s="151" t="str">
        <f t="shared" si="4"/>
        <v>#REF!</v>
      </c>
      <c r="L10" s="60"/>
      <c r="M10" s="31"/>
      <c r="N10" s="61"/>
      <c r="O10" s="60"/>
      <c r="P10" s="31"/>
      <c r="Q10" s="61"/>
      <c r="R10" s="60"/>
      <c r="S10" s="31"/>
      <c r="T10" s="61"/>
      <c r="U10" s="60"/>
      <c r="V10" s="31"/>
      <c r="W10" s="61"/>
      <c r="X10" s="60"/>
      <c r="Y10" s="31"/>
      <c r="Z10" s="61"/>
      <c r="AA10" s="60"/>
      <c r="AB10" s="31"/>
      <c r="AC10" s="61"/>
      <c r="AD10" s="60"/>
      <c r="AE10" s="31"/>
      <c r="AF10" s="61"/>
      <c r="AG10" s="60"/>
      <c r="AH10" s="31"/>
      <c r="AI10" s="61"/>
      <c r="AJ10" s="60"/>
      <c r="AK10" s="31"/>
      <c r="AL10" s="61"/>
      <c r="AM10" s="60"/>
      <c r="AN10" s="31"/>
      <c r="AO10" s="61"/>
      <c r="AP10" s="60"/>
      <c r="AQ10" s="31"/>
      <c r="AR10" s="61"/>
      <c r="AS10" s="60"/>
      <c r="AT10" s="31"/>
      <c r="AU10" s="61"/>
      <c r="AV10" s="60"/>
      <c r="AW10" s="31"/>
      <c r="AX10" s="61"/>
    </row>
    <row r="11" ht="39.75" customHeight="1">
      <c r="A11" s="62"/>
      <c r="B11" s="148"/>
      <c r="C11" s="105" t="str">
        <f>VLOOKUP(D11,[1]Saldo!A10:B31283,2,0)</f>
        <v>#ERROR!</v>
      </c>
      <c r="D11" s="68" t="s">
        <v>596</v>
      </c>
      <c r="E11" s="68" t="s">
        <v>597</v>
      </c>
      <c r="F11" s="152" t="str">
        <f t="shared" si="1"/>
        <v>#REF!</v>
      </c>
      <c r="G11" s="68" t="str">
        <f t="shared" si="2"/>
        <v>#REF!</v>
      </c>
      <c r="H11" s="150">
        <f>'PAINEL DE CONTROLE'!$G$5</f>
        <v>28359</v>
      </c>
      <c r="I11" s="150">
        <v>24649.0</v>
      </c>
      <c r="J11" s="150" t="str">
        <f t="shared" si="3"/>
        <v>#REF!</v>
      </c>
      <c r="K11" s="151" t="str">
        <f t="shared" si="4"/>
        <v>#REF!</v>
      </c>
      <c r="L11" s="60"/>
      <c r="M11" s="31"/>
      <c r="N11" s="61"/>
      <c r="O11" s="60"/>
      <c r="P11" s="31"/>
      <c r="Q11" s="61"/>
      <c r="R11" s="60"/>
      <c r="S11" s="31"/>
      <c r="T11" s="61"/>
      <c r="U11" s="60"/>
      <c r="V11" s="31"/>
      <c r="W11" s="61"/>
      <c r="X11" s="60"/>
      <c r="Y11" s="31"/>
      <c r="Z11" s="61"/>
      <c r="AA11" s="60"/>
      <c r="AB11" s="31"/>
      <c r="AC11" s="61"/>
      <c r="AD11" s="60"/>
      <c r="AE11" s="31"/>
      <c r="AF11" s="61"/>
      <c r="AG11" s="60"/>
      <c r="AH11" s="31"/>
      <c r="AI11" s="61"/>
      <c r="AJ11" s="60"/>
      <c r="AK11" s="31"/>
      <c r="AL11" s="61"/>
      <c r="AM11" s="60"/>
      <c r="AN11" s="31"/>
      <c r="AO11" s="61"/>
      <c r="AP11" s="60"/>
      <c r="AQ11" s="31"/>
      <c r="AR11" s="61"/>
      <c r="AS11" s="60"/>
      <c r="AT11" s="31"/>
      <c r="AU11" s="61"/>
      <c r="AV11" s="60"/>
      <c r="AW11" s="31"/>
      <c r="AX11" s="61"/>
    </row>
    <row r="12" ht="39.75" customHeight="1">
      <c r="A12" s="62"/>
      <c r="B12" s="148"/>
      <c r="C12" s="105" t="str">
        <f>VLOOKUP(D12,[1]Saldo!A11:B31284,2,0)</f>
        <v>#ERROR!</v>
      </c>
      <c r="D12" s="68" t="s">
        <v>598</v>
      </c>
      <c r="E12" s="68" t="s">
        <v>599</v>
      </c>
      <c r="F12" s="152" t="str">
        <f t="shared" si="1"/>
        <v>#REF!</v>
      </c>
      <c r="G12" s="68" t="str">
        <f t="shared" si="2"/>
        <v>#REF!</v>
      </c>
      <c r="H12" s="150">
        <f>'PAINEL DE CONTROLE'!$G$5</f>
        <v>28359</v>
      </c>
      <c r="I12" s="150">
        <v>24649.0</v>
      </c>
      <c r="J12" s="150" t="str">
        <f t="shared" si="3"/>
        <v>#REF!</v>
      </c>
      <c r="K12" s="151" t="str">
        <f t="shared" si="4"/>
        <v>#REF!</v>
      </c>
      <c r="L12" s="60"/>
      <c r="M12" s="31"/>
      <c r="N12" s="61"/>
      <c r="O12" s="60"/>
      <c r="P12" s="31"/>
      <c r="Q12" s="61"/>
      <c r="R12" s="60"/>
      <c r="S12" s="31"/>
      <c r="T12" s="61"/>
      <c r="U12" s="60"/>
      <c r="V12" s="31"/>
      <c r="W12" s="61"/>
      <c r="X12" s="60"/>
      <c r="Y12" s="31"/>
      <c r="Z12" s="61"/>
      <c r="AA12" s="60"/>
      <c r="AB12" s="31"/>
      <c r="AC12" s="61"/>
      <c r="AD12" s="60"/>
      <c r="AE12" s="31"/>
      <c r="AF12" s="61"/>
      <c r="AG12" s="60"/>
      <c r="AH12" s="31"/>
      <c r="AI12" s="61"/>
      <c r="AJ12" s="60"/>
      <c r="AK12" s="31"/>
      <c r="AL12" s="61"/>
      <c r="AM12" s="60"/>
      <c r="AN12" s="31"/>
      <c r="AO12" s="61"/>
      <c r="AP12" s="60"/>
      <c r="AQ12" s="31"/>
      <c r="AR12" s="61"/>
      <c r="AS12" s="60"/>
      <c r="AT12" s="31"/>
      <c r="AU12" s="61"/>
      <c r="AV12" s="60"/>
      <c r="AW12" s="31"/>
      <c r="AX12" s="61"/>
    </row>
    <row r="13" ht="39.75" customHeight="1">
      <c r="A13" s="63"/>
      <c r="B13" s="153"/>
      <c r="C13" s="154" t="str">
        <f>VLOOKUP(D13,[1]Saldo!A12:B31285,2,0)</f>
        <v>#ERROR!</v>
      </c>
      <c r="D13" s="155" t="s">
        <v>600</v>
      </c>
      <c r="E13" s="155" t="s">
        <v>601</v>
      </c>
      <c r="F13" s="149" t="str">
        <f t="shared" si="1"/>
        <v>#REF!</v>
      </c>
      <c r="G13" s="68" t="str">
        <f t="shared" si="2"/>
        <v>#REF!</v>
      </c>
      <c r="H13" s="150">
        <f>'PAINEL DE CONTROLE'!$G$5</f>
        <v>28359</v>
      </c>
      <c r="I13" s="150">
        <v>24649.0</v>
      </c>
      <c r="J13" s="150" t="str">
        <f t="shared" si="3"/>
        <v>#REF!</v>
      </c>
      <c r="K13" s="151" t="str">
        <f t="shared" si="4"/>
        <v>#REF!</v>
      </c>
      <c r="L13" s="60"/>
      <c r="M13" s="31"/>
      <c r="N13" s="61"/>
      <c r="O13" s="60"/>
      <c r="P13" s="31"/>
      <c r="Q13" s="61"/>
      <c r="R13" s="60"/>
      <c r="S13" s="31"/>
      <c r="T13" s="61"/>
      <c r="U13" s="60"/>
      <c r="V13" s="31"/>
      <c r="W13" s="61"/>
      <c r="X13" s="60"/>
      <c r="Y13" s="31"/>
      <c r="Z13" s="61"/>
      <c r="AA13" s="60"/>
      <c r="AB13" s="31"/>
      <c r="AC13" s="61"/>
      <c r="AD13" s="60"/>
      <c r="AE13" s="31"/>
      <c r="AF13" s="61"/>
      <c r="AG13" s="60"/>
      <c r="AH13" s="31"/>
      <c r="AI13" s="61"/>
      <c r="AJ13" s="60"/>
      <c r="AK13" s="31"/>
      <c r="AL13" s="61"/>
      <c r="AM13" s="60"/>
      <c r="AN13" s="31"/>
      <c r="AO13" s="61"/>
      <c r="AP13" s="60"/>
      <c r="AQ13" s="31"/>
      <c r="AR13" s="61"/>
      <c r="AS13" s="60"/>
      <c r="AT13" s="31"/>
      <c r="AU13" s="61"/>
      <c r="AV13" s="60"/>
      <c r="AW13" s="31"/>
      <c r="AX13" s="61"/>
    </row>
    <row r="14" ht="39.75" customHeight="1">
      <c r="A14" s="147" t="s">
        <v>40</v>
      </c>
      <c r="B14" s="156"/>
      <c r="C14" s="105" t="str">
        <f>VLOOKUP(D14,[1]Saldo!A13:B31286,2,0)</f>
        <v>#ERROR!</v>
      </c>
      <c r="D14" s="68" t="s">
        <v>602</v>
      </c>
      <c r="E14" s="68" t="s">
        <v>603</v>
      </c>
      <c r="F14" s="149">
        <v>7.0</v>
      </c>
      <c r="G14" s="68">
        <v>2000.0</v>
      </c>
      <c r="H14" s="150">
        <f>'PAINEL DE CONTROLE'!$G$5</f>
        <v>28359</v>
      </c>
      <c r="I14" s="150">
        <v>24649.0</v>
      </c>
      <c r="J14" s="150">
        <f t="shared" si="3"/>
        <v>26649</v>
      </c>
      <c r="K14" s="151">
        <f t="shared" si="4"/>
        <v>-1710</v>
      </c>
      <c r="L14" s="60"/>
      <c r="M14" s="31"/>
      <c r="N14" s="61"/>
      <c r="O14" s="60"/>
      <c r="P14" s="31"/>
      <c r="Q14" s="61"/>
      <c r="R14" s="60"/>
      <c r="S14" s="31"/>
      <c r="T14" s="61"/>
      <c r="U14" s="60"/>
      <c r="V14" s="31"/>
      <c r="W14" s="61"/>
      <c r="X14" s="60"/>
      <c r="Y14" s="31"/>
      <c r="Z14" s="61"/>
      <c r="AA14" s="60"/>
      <c r="AB14" s="31"/>
      <c r="AC14" s="61"/>
      <c r="AD14" s="60"/>
      <c r="AE14" s="31"/>
      <c r="AF14" s="61"/>
      <c r="AG14" s="60"/>
      <c r="AH14" s="31"/>
      <c r="AI14" s="61"/>
      <c r="AJ14" s="60"/>
      <c r="AK14" s="31"/>
      <c r="AL14" s="61"/>
      <c r="AM14" s="60"/>
      <c r="AN14" s="31"/>
      <c r="AO14" s="61"/>
      <c r="AP14" s="60"/>
      <c r="AQ14" s="31"/>
      <c r="AR14" s="61"/>
      <c r="AS14" s="60"/>
      <c r="AT14" s="31"/>
      <c r="AU14" s="61"/>
      <c r="AV14" s="60"/>
      <c r="AW14" s="31"/>
      <c r="AX14" s="61"/>
    </row>
    <row r="15" ht="39.75" customHeight="1">
      <c r="A15" s="62"/>
      <c r="B15" s="156"/>
      <c r="C15" s="105" t="str">
        <f>VLOOKUP(D15,[1]Saldo!A14:B31287,2,0)</f>
        <v>#ERROR!</v>
      </c>
      <c r="D15" s="68" t="s">
        <v>604</v>
      </c>
      <c r="E15" s="68" t="s">
        <v>605</v>
      </c>
      <c r="F15" s="149">
        <v>7.0</v>
      </c>
      <c r="G15" s="68">
        <v>2000.0</v>
      </c>
      <c r="H15" s="150">
        <f>'PAINEL DE CONTROLE'!$G$5</f>
        <v>28359</v>
      </c>
      <c r="I15" s="150">
        <v>24649.0</v>
      </c>
      <c r="J15" s="150">
        <f t="shared" si="3"/>
        <v>26649</v>
      </c>
      <c r="K15" s="151">
        <f t="shared" si="4"/>
        <v>-1710</v>
      </c>
      <c r="L15" s="60"/>
      <c r="M15" s="31"/>
      <c r="N15" s="61"/>
      <c r="O15" s="60"/>
      <c r="P15" s="31"/>
      <c r="Q15" s="61"/>
      <c r="R15" s="60"/>
      <c r="S15" s="31"/>
      <c r="T15" s="61"/>
      <c r="U15" s="60"/>
      <c r="V15" s="31"/>
      <c r="W15" s="61"/>
      <c r="X15" s="60"/>
      <c r="Y15" s="31"/>
      <c r="Z15" s="61"/>
      <c r="AA15" s="60"/>
      <c r="AB15" s="31"/>
      <c r="AC15" s="61"/>
      <c r="AD15" s="60"/>
      <c r="AE15" s="31"/>
      <c r="AF15" s="61"/>
      <c r="AG15" s="60"/>
      <c r="AH15" s="31"/>
      <c r="AI15" s="61"/>
      <c r="AJ15" s="60"/>
      <c r="AK15" s="31"/>
      <c r="AL15" s="61"/>
      <c r="AM15" s="60"/>
      <c r="AN15" s="31"/>
      <c r="AO15" s="61"/>
      <c r="AP15" s="60"/>
      <c r="AQ15" s="31"/>
      <c r="AR15" s="61"/>
      <c r="AS15" s="60"/>
      <c r="AT15" s="31"/>
      <c r="AU15" s="61"/>
      <c r="AV15" s="60"/>
      <c r="AW15" s="31"/>
      <c r="AX15" s="61"/>
    </row>
    <row r="16" ht="39.75" customHeight="1">
      <c r="A16" s="62"/>
      <c r="B16" s="156"/>
      <c r="C16" s="105" t="str">
        <f>VLOOKUP(D16,[1]Saldo!A15:B31288,2,0)</f>
        <v>#ERROR!</v>
      </c>
      <c r="D16" s="68" t="s">
        <v>606</v>
      </c>
      <c r="E16" s="68" t="s">
        <v>607</v>
      </c>
      <c r="F16" s="149">
        <v>1.0</v>
      </c>
      <c r="G16" s="68">
        <v>3000.0</v>
      </c>
      <c r="H16" s="150">
        <f>'PAINEL DE CONTROLE'!$G$5</f>
        <v>28359</v>
      </c>
      <c r="I16" s="150">
        <v>24649.0</v>
      </c>
      <c r="J16" s="150">
        <f t="shared" si="3"/>
        <v>27649</v>
      </c>
      <c r="K16" s="151">
        <f t="shared" si="4"/>
        <v>-710</v>
      </c>
      <c r="L16" s="60"/>
      <c r="M16" s="31"/>
      <c r="N16" s="61"/>
      <c r="O16" s="60"/>
      <c r="P16" s="31"/>
      <c r="Q16" s="61"/>
      <c r="R16" s="60"/>
      <c r="S16" s="31"/>
      <c r="T16" s="61"/>
      <c r="U16" s="60"/>
      <c r="V16" s="31"/>
      <c r="W16" s="61"/>
      <c r="X16" s="60"/>
      <c r="Y16" s="31"/>
      <c r="Z16" s="61"/>
      <c r="AA16" s="60"/>
      <c r="AB16" s="31"/>
      <c r="AC16" s="61"/>
      <c r="AD16" s="60"/>
      <c r="AE16" s="31"/>
      <c r="AF16" s="61"/>
      <c r="AG16" s="60"/>
      <c r="AH16" s="31"/>
      <c r="AI16" s="61"/>
      <c r="AJ16" s="60"/>
      <c r="AK16" s="31"/>
      <c r="AL16" s="61"/>
      <c r="AM16" s="60"/>
      <c r="AN16" s="31"/>
      <c r="AO16" s="61"/>
      <c r="AP16" s="60"/>
      <c r="AQ16" s="31"/>
      <c r="AR16" s="61"/>
      <c r="AS16" s="60"/>
      <c r="AT16" s="31"/>
      <c r="AU16" s="61"/>
      <c r="AV16" s="60"/>
      <c r="AW16" s="31"/>
      <c r="AX16" s="61"/>
    </row>
    <row r="17" ht="39.75" customHeight="1">
      <c r="A17" s="62"/>
      <c r="B17" s="156"/>
      <c r="C17" s="105" t="str">
        <f>VLOOKUP(D17,[1]Saldo!A16:B31289,2,0)</f>
        <v>#ERROR!</v>
      </c>
      <c r="D17" s="68" t="s">
        <v>608</v>
      </c>
      <c r="E17" s="68" t="s">
        <v>609</v>
      </c>
      <c r="F17" s="149">
        <v>1.0</v>
      </c>
      <c r="G17" s="68">
        <v>3000.0</v>
      </c>
      <c r="H17" s="150">
        <f>'PAINEL DE CONTROLE'!$G$5</f>
        <v>28359</v>
      </c>
      <c r="I17" s="150">
        <v>24649.0</v>
      </c>
      <c r="J17" s="150">
        <f t="shared" si="3"/>
        <v>27649</v>
      </c>
      <c r="K17" s="151">
        <f t="shared" si="4"/>
        <v>-710</v>
      </c>
      <c r="L17" s="60"/>
      <c r="M17" s="31"/>
      <c r="N17" s="61"/>
      <c r="O17" s="60"/>
      <c r="P17" s="31"/>
      <c r="Q17" s="61"/>
      <c r="R17" s="60"/>
      <c r="S17" s="31"/>
      <c r="T17" s="61"/>
      <c r="U17" s="60"/>
      <c r="V17" s="31"/>
      <c r="W17" s="61"/>
      <c r="X17" s="60"/>
      <c r="Y17" s="31"/>
      <c r="Z17" s="61"/>
      <c r="AA17" s="60"/>
      <c r="AB17" s="31"/>
      <c r="AC17" s="61"/>
      <c r="AD17" s="60"/>
      <c r="AE17" s="31"/>
      <c r="AF17" s="61"/>
      <c r="AG17" s="60"/>
      <c r="AH17" s="31"/>
      <c r="AI17" s="61"/>
      <c r="AJ17" s="60"/>
      <c r="AK17" s="31"/>
      <c r="AL17" s="61"/>
      <c r="AM17" s="60"/>
      <c r="AN17" s="31"/>
      <c r="AO17" s="61"/>
      <c r="AP17" s="60"/>
      <c r="AQ17" s="31"/>
      <c r="AR17" s="61"/>
      <c r="AS17" s="60"/>
      <c r="AT17" s="31"/>
      <c r="AU17" s="61"/>
      <c r="AV17" s="60"/>
      <c r="AW17" s="31"/>
      <c r="AX17" s="61"/>
    </row>
    <row r="18" ht="39.75" customHeight="1">
      <c r="A18" s="62"/>
      <c r="B18" s="156"/>
      <c r="C18" s="105" t="str">
        <f>VLOOKUP(D18,[1]Saldo!A17:B31290,2,0)</f>
        <v>#ERROR!</v>
      </c>
      <c r="D18" s="68" t="s">
        <v>610</v>
      </c>
      <c r="E18" s="68" t="s">
        <v>603</v>
      </c>
      <c r="F18" s="149">
        <v>1.0</v>
      </c>
      <c r="G18" s="68">
        <v>3000.0</v>
      </c>
      <c r="H18" s="150">
        <f>'PAINEL DE CONTROLE'!$G$5</f>
        <v>28359</v>
      </c>
      <c r="I18" s="150">
        <v>24649.0</v>
      </c>
      <c r="J18" s="150">
        <f t="shared" si="3"/>
        <v>27649</v>
      </c>
      <c r="K18" s="151">
        <f t="shared" si="4"/>
        <v>-710</v>
      </c>
      <c r="L18" s="60"/>
      <c r="M18" s="31"/>
      <c r="N18" s="61"/>
      <c r="O18" s="60"/>
      <c r="P18" s="31"/>
      <c r="Q18" s="61"/>
      <c r="R18" s="60"/>
      <c r="S18" s="31"/>
      <c r="T18" s="61"/>
      <c r="U18" s="60"/>
      <c r="V18" s="31"/>
      <c r="W18" s="61"/>
      <c r="X18" s="60"/>
      <c r="Y18" s="31"/>
      <c r="Z18" s="61"/>
      <c r="AA18" s="60"/>
      <c r="AB18" s="31"/>
      <c r="AC18" s="61"/>
      <c r="AD18" s="60"/>
      <c r="AE18" s="31"/>
      <c r="AF18" s="61"/>
      <c r="AG18" s="60"/>
      <c r="AH18" s="31"/>
      <c r="AI18" s="61"/>
      <c r="AJ18" s="60"/>
      <c r="AK18" s="31"/>
      <c r="AL18" s="61"/>
      <c r="AM18" s="60"/>
      <c r="AN18" s="31"/>
      <c r="AO18" s="61"/>
      <c r="AP18" s="60"/>
      <c r="AQ18" s="31"/>
      <c r="AR18" s="61"/>
      <c r="AS18" s="60"/>
      <c r="AT18" s="31"/>
      <c r="AU18" s="61"/>
      <c r="AV18" s="60"/>
      <c r="AW18" s="31"/>
      <c r="AX18" s="61"/>
    </row>
    <row r="19" ht="39.75" customHeight="1">
      <c r="A19" s="62"/>
      <c r="B19" s="156"/>
      <c r="C19" s="105" t="str">
        <f>VLOOKUP(D19,[1]Saldo!A18:B31291,2,0)</f>
        <v>#ERROR!</v>
      </c>
      <c r="D19" s="68" t="s">
        <v>611</v>
      </c>
      <c r="E19" s="68" t="s">
        <v>612</v>
      </c>
      <c r="F19" s="149">
        <v>1.0</v>
      </c>
      <c r="G19" s="68">
        <v>3000.0</v>
      </c>
      <c r="H19" s="150">
        <f>'PAINEL DE CONTROLE'!$G$5</f>
        <v>28359</v>
      </c>
      <c r="I19" s="150">
        <v>24649.0</v>
      </c>
      <c r="J19" s="150">
        <f t="shared" si="3"/>
        <v>27649</v>
      </c>
      <c r="K19" s="151">
        <f t="shared" si="4"/>
        <v>-710</v>
      </c>
      <c r="L19" s="60"/>
      <c r="M19" s="31"/>
      <c r="N19" s="61"/>
      <c r="O19" s="60"/>
      <c r="P19" s="31"/>
      <c r="Q19" s="61"/>
      <c r="R19" s="60"/>
      <c r="S19" s="31"/>
      <c r="T19" s="61"/>
      <c r="U19" s="60"/>
      <c r="V19" s="31"/>
      <c r="W19" s="61"/>
      <c r="X19" s="60"/>
      <c r="Y19" s="31"/>
      <c r="Z19" s="61"/>
      <c r="AA19" s="60"/>
      <c r="AB19" s="31"/>
      <c r="AC19" s="61"/>
      <c r="AD19" s="60"/>
      <c r="AE19" s="31"/>
      <c r="AF19" s="61"/>
      <c r="AG19" s="60"/>
      <c r="AH19" s="31"/>
      <c r="AI19" s="61"/>
      <c r="AJ19" s="60"/>
      <c r="AK19" s="31"/>
      <c r="AL19" s="61"/>
      <c r="AM19" s="60"/>
      <c r="AN19" s="31"/>
      <c r="AO19" s="61"/>
      <c r="AP19" s="60"/>
      <c r="AQ19" s="31"/>
      <c r="AR19" s="61"/>
      <c r="AS19" s="60"/>
      <c r="AT19" s="31"/>
      <c r="AU19" s="61"/>
      <c r="AV19" s="60"/>
      <c r="AW19" s="31"/>
      <c r="AX19" s="61"/>
    </row>
    <row r="20" ht="39.75" customHeight="1">
      <c r="A20" s="62"/>
      <c r="B20" s="156"/>
      <c r="C20" s="105" t="str">
        <f>VLOOKUP(D20,[1]Saldo!A19:B31292,2,0)</f>
        <v>#ERROR!</v>
      </c>
      <c r="D20" s="68" t="s">
        <v>613</v>
      </c>
      <c r="E20" s="68" t="s">
        <v>614</v>
      </c>
      <c r="F20" s="149">
        <v>2.0</v>
      </c>
      <c r="G20" s="68">
        <v>3000.0</v>
      </c>
      <c r="H20" s="150">
        <f>'PAINEL DE CONTROLE'!$G$5</f>
        <v>28359</v>
      </c>
      <c r="I20" s="150">
        <v>24649.0</v>
      </c>
      <c r="J20" s="150">
        <f t="shared" si="3"/>
        <v>27649</v>
      </c>
      <c r="K20" s="151">
        <f t="shared" si="4"/>
        <v>-710</v>
      </c>
      <c r="L20" s="60"/>
      <c r="M20" s="31"/>
      <c r="N20" s="61"/>
      <c r="O20" s="60"/>
      <c r="P20" s="31"/>
      <c r="Q20" s="61"/>
      <c r="R20" s="60"/>
      <c r="S20" s="31"/>
      <c r="T20" s="61"/>
      <c r="U20" s="60"/>
      <c r="V20" s="31"/>
      <c r="W20" s="61"/>
      <c r="X20" s="60"/>
      <c r="Y20" s="31"/>
      <c r="Z20" s="61"/>
      <c r="AA20" s="60"/>
      <c r="AB20" s="31"/>
      <c r="AC20" s="61"/>
      <c r="AD20" s="60"/>
      <c r="AE20" s="31"/>
      <c r="AF20" s="61"/>
      <c r="AG20" s="60"/>
      <c r="AH20" s="31"/>
      <c r="AI20" s="61"/>
      <c r="AJ20" s="60"/>
      <c r="AK20" s="31"/>
      <c r="AL20" s="61"/>
      <c r="AM20" s="60"/>
      <c r="AN20" s="31"/>
      <c r="AO20" s="61"/>
      <c r="AP20" s="60"/>
      <c r="AQ20" s="31"/>
      <c r="AR20" s="61"/>
      <c r="AS20" s="60"/>
      <c r="AT20" s="31"/>
      <c r="AU20" s="61"/>
      <c r="AV20" s="60"/>
      <c r="AW20" s="31"/>
      <c r="AX20" s="61"/>
    </row>
    <row r="21" ht="39.75" customHeight="1">
      <c r="A21" s="62"/>
      <c r="B21" s="156"/>
      <c r="C21" s="105" t="str">
        <f>VLOOKUP(D21,[1]Saldo!A20:B31293,2,0)</f>
        <v>#ERROR!</v>
      </c>
      <c r="D21" s="68" t="s">
        <v>615</v>
      </c>
      <c r="E21" s="68" t="s">
        <v>595</v>
      </c>
      <c r="F21" s="149">
        <v>2.0</v>
      </c>
      <c r="G21" s="68">
        <v>3000.0</v>
      </c>
      <c r="H21" s="150">
        <f>'PAINEL DE CONTROLE'!$G$5</f>
        <v>28359</v>
      </c>
      <c r="I21" s="150">
        <v>24649.0</v>
      </c>
      <c r="J21" s="150">
        <f t="shared" si="3"/>
        <v>27649</v>
      </c>
      <c r="K21" s="151">
        <f t="shared" si="4"/>
        <v>-710</v>
      </c>
      <c r="L21" s="60"/>
      <c r="M21" s="31"/>
      <c r="N21" s="61"/>
      <c r="O21" s="60"/>
      <c r="P21" s="31"/>
      <c r="Q21" s="61"/>
      <c r="R21" s="60"/>
      <c r="S21" s="31"/>
      <c r="T21" s="61"/>
      <c r="U21" s="60"/>
      <c r="V21" s="31"/>
      <c r="W21" s="61"/>
      <c r="X21" s="60"/>
      <c r="Y21" s="31"/>
      <c r="Z21" s="61"/>
      <c r="AA21" s="60"/>
      <c r="AB21" s="31"/>
      <c r="AC21" s="61"/>
      <c r="AD21" s="60"/>
      <c r="AE21" s="31"/>
      <c r="AF21" s="61"/>
      <c r="AG21" s="60"/>
      <c r="AH21" s="31"/>
      <c r="AI21" s="61"/>
      <c r="AJ21" s="60"/>
      <c r="AK21" s="31"/>
      <c r="AL21" s="61"/>
      <c r="AM21" s="60"/>
      <c r="AN21" s="31"/>
      <c r="AO21" s="61"/>
      <c r="AP21" s="60"/>
      <c r="AQ21" s="31"/>
      <c r="AR21" s="61"/>
      <c r="AS21" s="60"/>
      <c r="AT21" s="31"/>
      <c r="AU21" s="61"/>
      <c r="AV21" s="60"/>
      <c r="AW21" s="31"/>
      <c r="AX21" s="61"/>
    </row>
    <row r="22" ht="39.75" customHeight="1">
      <c r="A22" s="62"/>
      <c r="B22" s="156"/>
      <c r="C22" s="105" t="str">
        <f>VLOOKUP(D22,[1]Saldo!A21:B31294,2,0)</f>
        <v>#ERROR!</v>
      </c>
      <c r="D22" s="68" t="s">
        <v>616</v>
      </c>
      <c r="E22" s="68" t="s">
        <v>614</v>
      </c>
      <c r="F22" s="149">
        <v>8.0</v>
      </c>
      <c r="G22" s="68">
        <v>3000.0</v>
      </c>
      <c r="H22" s="150">
        <f>'PAINEL DE CONTROLE'!$G$5</f>
        <v>28359</v>
      </c>
      <c r="I22" s="150">
        <v>24649.0</v>
      </c>
      <c r="J22" s="150">
        <f t="shared" si="3"/>
        <v>27649</v>
      </c>
      <c r="K22" s="151">
        <f t="shared" si="4"/>
        <v>-710</v>
      </c>
      <c r="L22" s="60"/>
      <c r="M22" s="31"/>
      <c r="N22" s="61"/>
      <c r="O22" s="60"/>
      <c r="P22" s="31"/>
      <c r="Q22" s="61"/>
      <c r="R22" s="60"/>
      <c r="S22" s="31"/>
      <c r="T22" s="61"/>
      <c r="U22" s="60"/>
      <c r="V22" s="31"/>
      <c r="W22" s="61"/>
      <c r="X22" s="60"/>
      <c r="Y22" s="31"/>
      <c r="Z22" s="61"/>
      <c r="AA22" s="60"/>
      <c r="AB22" s="31"/>
      <c r="AC22" s="61"/>
      <c r="AD22" s="60"/>
      <c r="AE22" s="31"/>
      <c r="AF22" s="61"/>
      <c r="AG22" s="60"/>
      <c r="AH22" s="31"/>
      <c r="AI22" s="61"/>
      <c r="AJ22" s="60"/>
      <c r="AK22" s="31"/>
      <c r="AL22" s="61"/>
      <c r="AM22" s="60"/>
      <c r="AN22" s="31"/>
      <c r="AO22" s="61"/>
      <c r="AP22" s="60"/>
      <c r="AQ22" s="31"/>
      <c r="AR22" s="61"/>
      <c r="AS22" s="60"/>
      <c r="AT22" s="31"/>
      <c r="AU22" s="61"/>
      <c r="AV22" s="60"/>
      <c r="AW22" s="31"/>
      <c r="AX22" s="61"/>
    </row>
    <row r="23" ht="39.75" customHeight="1">
      <c r="A23" s="62"/>
      <c r="B23" s="156"/>
      <c r="C23" s="105" t="str">
        <f>VLOOKUP(D23,[1]Saldo!A22:B31295,2,0)</f>
        <v>#ERROR!</v>
      </c>
      <c r="D23" s="68" t="s">
        <v>617</v>
      </c>
      <c r="E23" s="68" t="s">
        <v>618</v>
      </c>
      <c r="F23" s="149">
        <v>4.0</v>
      </c>
      <c r="G23" s="68">
        <v>3000.0</v>
      </c>
      <c r="H23" s="150">
        <f>'PAINEL DE CONTROLE'!$G$5</f>
        <v>28359</v>
      </c>
      <c r="I23" s="150">
        <v>24649.0</v>
      </c>
      <c r="J23" s="150">
        <f t="shared" si="3"/>
        <v>27649</v>
      </c>
      <c r="K23" s="151">
        <f t="shared" si="4"/>
        <v>-710</v>
      </c>
      <c r="L23" s="60"/>
      <c r="M23" s="31"/>
      <c r="N23" s="61"/>
      <c r="O23" s="60"/>
      <c r="P23" s="31"/>
      <c r="Q23" s="61"/>
      <c r="R23" s="60"/>
      <c r="S23" s="31"/>
      <c r="T23" s="61"/>
      <c r="U23" s="60"/>
      <c r="V23" s="31"/>
      <c r="W23" s="61"/>
      <c r="X23" s="60"/>
      <c r="Y23" s="31"/>
      <c r="Z23" s="61"/>
      <c r="AA23" s="60"/>
      <c r="AB23" s="31"/>
      <c r="AC23" s="61"/>
      <c r="AD23" s="60"/>
      <c r="AE23" s="31"/>
      <c r="AF23" s="61"/>
      <c r="AG23" s="60"/>
      <c r="AH23" s="31"/>
      <c r="AI23" s="61"/>
      <c r="AJ23" s="60"/>
      <c r="AK23" s="31"/>
      <c r="AL23" s="61"/>
      <c r="AM23" s="60"/>
      <c r="AN23" s="31"/>
      <c r="AO23" s="61"/>
      <c r="AP23" s="60"/>
      <c r="AQ23" s="31"/>
      <c r="AR23" s="61"/>
      <c r="AS23" s="60"/>
      <c r="AT23" s="31"/>
      <c r="AU23" s="61"/>
      <c r="AV23" s="60"/>
      <c r="AW23" s="31"/>
      <c r="AX23" s="61"/>
    </row>
    <row r="24" ht="39.75" customHeight="1">
      <c r="A24" s="62"/>
      <c r="B24" s="156"/>
      <c r="C24" s="105" t="str">
        <f>VLOOKUP(D24,[1]Saldo!A23:B31296,2,0)</f>
        <v>#ERROR!</v>
      </c>
      <c r="D24" s="68" t="s">
        <v>619</v>
      </c>
      <c r="E24" s="68" t="s">
        <v>620</v>
      </c>
      <c r="F24" s="149">
        <v>4.0</v>
      </c>
      <c r="G24" s="68">
        <v>3000.0</v>
      </c>
      <c r="H24" s="150">
        <f>'PAINEL DE CONTROLE'!$G$5</f>
        <v>28359</v>
      </c>
      <c r="I24" s="150">
        <v>24649.0</v>
      </c>
      <c r="J24" s="150">
        <f t="shared" si="3"/>
        <v>27649</v>
      </c>
      <c r="K24" s="151">
        <f t="shared" si="4"/>
        <v>-710</v>
      </c>
      <c r="L24" s="60"/>
      <c r="M24" s="31"/>
      <c r="N24" s="61"/>
      <c r="O24" s="60"/>
      <c r="P24" s="31"/>
      <c r="Q24" s="61"/>
      <c r="R24" s="60"/>
      <c r="S24" s="31"/>
      <c r="T24" s="61"/>
      <c r="U24" s="60"/>
      <c r="V24" s="31"/>
      <c r="W24" s="61"/>
      <c r="X24" s="60"/>
      <c r="Y24" s="31"/>
      <c r="Z24" s="61"/>
      <c r="AA24" s="60"/>
      <c r="AB24" s="31"/>
      <c r="AC24" s="61"/>
      <c r="AD24" s="60"/>
      <c r="AE24" s="31"/>
      <c r="AF24" s="61"/>
      <c r="AG24" s="60"/>
      <c r="AH24" s="31"/>
      <c r="AI24" s="61"/>
      <c r="AJ24" s="60"/>
      <c r="AK24" s="31"/>
      <c r="AL24" s="61"/>
      <c r="AM24" s="60"/>
      <c r="AN24" s="31"/>
      <c r="AO24" s="61"/>
      <c r="AP24" s="60"/>
      <c r="AQ24" s="31"/>
      <c r="AR24" s="61"/>
      <c r="AS24" s="60"/>
      <c r="AT24" s="31"/>
      <c r="AU24" s="61"/>
      <c r="AV24" s="60"/>
      <c r="AW24" s="31"/>
      <c r="AX24" s="61"/>
    </row>
    <row r="25" ht="39.75" customHeight="1">
      <c r="A25" s="63"/>
      <c r="B25" s="156"/>
      <c r="C25" s="105" t="str">
        <f>VLOOKUP(D25,[1]Saldo!A24:B31297,2,0)</f>
        <v>#ERROR!</v>
      </c>
      <c r="D25" s="68" t="s">
        <v>621</v>
      </c>
      <c r="E25" s="68" t="s">
        <v>622</v>
      </c>
      <c r="F25" s="149">
        <v>4.0</v>
      </c>
      <c r="G25" s="68">
        <v>3000.0</v>
      </c>
      <c r="H25" s="150">
        <f>'PAINEL DE CONTROLE'!$G$5</f>
        <v>28359</v>
      </c>
      <c r="I25" s="150">
        <v>24649.0</v>
      </c>
      <c r="J25" s="150">
        <f t="shared" si="3"/>
        <v>27649</v>
      </c>
      <c r="K25" s="151">
        <f t="shared" si="4"/>
        <v>-710</v>
      </c>
      <c r="L25" s="60"/>
      <c r="M25" s="31"/>
      <c r="N25" s="61"/>
      <c r="O25" s="60"/>
      <c r="P25" s="31"/>
      <c r="Q25" s="61"/>
      <c r="R25" s="60"/>
      <c r="S25" s="31"/>
      <c r="T25" s="61"/>
      <c r="U25" s="60"/>
      <c r="V25" s="31"/>
      <c r="W25" s="61"/>
      <c r="X25" s="60"/>
      <c r="Y25" s="31"/>
      <c r="Z25" s="61"/>
      <c r="AA25" s="60"/>
      <c r="AB25" s="31"/>
      <c r="AC25" s="61"/>
      <c r="AD25" s="60"/>
      <c r="AE25" s="31"/>
      <c r="AF25" s="61"/>
      <c r="AG25" s="60"/>
      <c r="AH25" s="31"/>
      <c r="AI25" s="61"/>
      <c r="AJ25" s="60"/>
      <c r="AK25" s="31"/>
      <c r="AL25" s="61"/>
      <c r="AM25" s="60"/>
      <c r="AN25" s="31"/>
      <c r="AO25" s="61"/>
      <c r="AP25" s="60"/>
      <c r="AQ25" s="31"/>
      <c r="AR25" s="61"/>
      <c r="AS25" s="60"/>
      <c r="AT25" s="31"/>
      <c r="AU25" s="61"/>
      <c r="AV25" s="60"/>
      <c r="AW25" s="31"/>
      <c r="AX25" s="61"/>
    </row>
    <row r="26" ht="39.75" customHeight="1">
      <c r="A26" s="147" t="s">
        <v>41</v>
      </c>
      <c r="B26" s="157"/>
      <c r="C26" s="105" t="str">
        <f>VLOOKUP(D26,[1]Saldo!A25:B31298,2,0)</f>
        <v>#ERROR!</v>
      </c>
      <c r="D26" s="68" t="s">
        <v>623</v>
      </c>
      <c r="E26" s="68" t="s">
        <v>624</v>
      </c>
      <c r="F26" s="149">
        <v>3.0</v>
      </c>
      <c r="G26" s="68">
        <v>7000.0</v>
      </c>
      <c r="H26" s="150">
        <f>'PAINEL DE CONTROLE'!$G$5</f>
        <v>28359</v>
      </c>
      <c r="I26" s="150">
        <v>24649.0</v>
      </c>
      <c r="J26" s="150">
        <f t="shared" si="3"/>
        <v>31649</v>
      </c>
      <c r="K26" s="151">
        <f t="shared" si="4"/>
        <v>3290</v>
      </c>
      <c r="L26" s="60"/>
      <c r="M26" s="31"/>
      <c r="N26" s="61"/>
      <c r="O26" s="60"/>
      <c r="P26" s="31"/>
      <c r="Q26" s="61"/>
      <c r="R26" s="60"/>
      <c r="S26" s="31"/>
      <c r="T26" s="61"/>
      <c r="U26" s="60"/>
      <c r="V26" s="31"/>
      <c r="W26" s="61"/>
      <c r="X26" s="60"/>
      <c r="Y26" s="31"/>
      <c r="Z26" s="61"/>
      <c r="AA26" s="60"/>
      <c r="AB26" s="31"/>
      <c r="AC26" s="61"/>
      <c r="AD26" s="60"/>
      <c r="AE26" s="31"/>
      <c r="AF26" s="61"/>
      <c r="AG26" s="60"/>
      <c r="AH26" s="31"/>
      <c r="AI26" s="61"/>
      <c r="AJ26" s="60"/>
      <c r="AK26" s="31"/>
      <c r="AL26" s="61"/>
      <c r="AM26" s="60"/>
      <c r="AN26" s="31"/>
      <c r="AO26" s="61"/>
      <c r="AP26" s="60"/>
      <c r="AQ26" s="31"/>
      <c r="AR26" s="61"/>
      <c r="AS26" s="60"/>
      <c r="AT26" s="31"/>
      <c r="AU26" s="61"/>
      <c r="AV26" s="60"/>
      <c r="AW26" s="31"/>
      <c r="AX26" s="61"/>
    </row>
    <row r="27" ht="39.75" customHeight="1">
      <c r="A27" s="62"/>
      <c r="B27" s="157"/>
      <c r="C27" s="105" t="str">
        <f>VLOOKUP(D27,[1]Saldo!A26:B31299,2,0)</f>
        <v>#ERROR!</v>
      </c>
      <c r="D27" s="68" t="s">
        <v>625</v>
      </c>
      <c r="E27" s="68" t="s">
        <v>626</v>
      </c>
      <c r="F27" s="149">
        <v>6.0</v>
      </c>
      <c r="G27" s="68">
        <v>7000.0</v>
      </c>
      <c r="H27" s="150">
        <f>'PAINEL DE CONTROLE'!$G$5</f>
        <v>28359</v>
      </c>
      <c r="I27" s="150">
        <v>24649.0</v>
      </c>
      <c r="J27" s="150">
        <f t="shared" si="3"/>
        <v>31649</v>
      </c>
      <c r="K27" s="151">
        <f t="shared" si="4"/>
        <v>3290</v>
      </c>
      <c r="L27" s="60"/>
      <c r="M27" s="31"/>
      <c r="N27" s="61"/>
      <c r="O27" s="60"/>
      <c r="P27" s="31"/>
      <c r="Q27" s="61"/>
      <c r="R27" s="60"/>
      <c r="S27" s="31"/>
      <c r="T27" s="61"/>
      <c r="U27" s="60"/>
      <c r="V27" s="31"/>
      <c r="W27" s="61"/>
      <c r="X27" s="60"/>
      <c r="Y27" s="31"/>
      <c r="Z27" s="61"/>
      <c r="AA27" s="60"/>
      <c r="AB27" s="31"/>
      <c r="AC27" s="61"/>
      <c r="AD27" s="60"/>
      <c r="AE27" s="31"/>
      <c r="AF27" s="61"/>
      <c r="AG27" s="60"/>
      <c r="AH27" s="31"/>
      <c r="AI27" s="61"/>
      <c r="AJ27" s="60"/>
      <c r="AK27" s="31"/>
      <c r="AL27" s="61"/>
      <c r="AM27" s="60"/>
      <c r="AN27" s="31"/>
      <c r="AO27" s="61"/>
      <c r="AP27" s="60"/>
      <c r="AQ27" s="31"/>
      <c r="AR27" s="61"/>
      <c r="AS27" s="60"/>
      <c r="AT27" s="31"/>
      <c r="AU27" s="61"/>
      <c r="AV27" s="60"/>
      <c r="AW27" s="31"/>
      <c r="AX27" s="61"/>
    </row>
    <row r="28" ht="39.75" customHeight="1">
      <c r="A28" s="62"/>
      <c r="B28" s="157"/>
      <c r="C28" s="105" t="str">
        <f>VLOOKUP(D28,[1]Saldo!A27:B31300,2,0)</f>
        <v>#ERROR!</v>
      </c>
      <c r="D28" s="68" t="s">
        <v>627</v>
      </c>
      <c r="E28" s="68" t="s">
        <v>612</v>
      </c>
      <c r="F28" s="149">
        <v>2.0</v>
      </c>
      <c r="G28" s="68">
        <v>7000.0</v>
      </c>
      <c r="H28" s="150">
        <f>'PAINEL DE CONTROLE'!$G$5</f>
        <v>28359</v>
      </c>
      <c r="I28" s="150">
        <v>24649.0</v>
      </c>
      <c r="J28" s="150">
        <f t="shared" si="3"/>
        <v>31649</v>
      </c>
      <c r="K28" s="151">
        <f t="shared" si="4"/>
        <v>3290</v>
      </c>
      <c r="L28" s="60"/>
      <c r="M28" s="31"/>
      <c r="N28" s="61"/>
      <c r="O28" s="60"/>
      <c r="P28" s="31"/>
      <c r="Q28" s="61"/>
      <c r="R28" s="60"/>
      <c r="S28" s="31"/>
      <c r="T28" s="61"/>
      <c r="U28" s="60"/>
      <c r="V28" s="31"/>
      <c r="W28" s="61"/>
      <c r="X28" s="60"/>
      <c r="Y28" s="31"/>
      <c r="Z28" s="61"/>
      <c r="AA28" s="60"/>
      <c r="AB28" s="31"/>
      <c r="AC28" s="61"/>
      <c r="AD28" s="60"/>
      <c r="AE28" s="31"/>
      <c r="AF28" s="61"/>
      <c r="AG28" s="60"/>
      <c r="AH28" s="31"/>
      <c r="AI28" s="61"/>
      <c r="AJ28" s="60"/>
      <c r="AK28" s="31"/>
      <c r="AL28" s="61"/>
      <c r="AM28" s="60"/>
      <c r="AN28" s="31"/>
      <c r="AO28" s="61"/>
      <c r="AP28" s="60"/>
      <c r="AQ28" s="31"/>
      <c r="AR28" s="61"/>
      <c r="AS28" s="60"/>
      <c r="AT28" s="31"/>
      <c r="AU28" s="61"/>
      <c r="AV28" s="60"/>
      <c r="AW28" s="31"/>
      <c r="AX28" s="61"/>
    </row>
    <row r="29" ht="39.75" customHeight="1">
      <c r="A29" s="62"/>
      <c r="B29" s="157"/>
      <c r="C29" s="105" t="str">
        <f>VLOOKUP(D29,[1]Saldo!A28:B31301,2,0)</f>
        <v>#ERROR!</v>
      </c>
      <c r="D29" s="68" t="s">
        <v>628</v>
      </c>
      <c r="E29" s="68" t="s">
        <v>629</v>
      </c>
      <c r="F29" s="149">
        <v>2.0</v>
      </c>
      <c r="G29" s="68">
        <v>7000.0</v>
      </c>
      <c r="H29" s="150">
        <f>'PAINEL DE CONTROLE'!$G$5</f>
        <v>28359</v>
      </c>
      <c r="I29" s="150">
        <v>24649.0</v>
      </c>
      <c r="J29" s="150">
        <f t="shared" si="3"/>
        <v>31649</v>
      </c>
      <c r="K29" s="151">
        <f t="shared" si="4"/>
        <v>3290</v>
      </c>
      <c r="L29" s="60"/>
      <c r="M29" s="31"/>
      <c r="N29" s="61"/>
      <c r="O29" s="60"/>
      <c r="P29" s="31"/>
      <c r="Q29" s="61"/>
      <c r="R29" s="60"/>
      <c r="S29" s="31"/>
      <c r="T29" s="61"/>
      <c r="U29" s="60"/>
      <c r="V29" s="31"/>
      <c r="W29" s="61"/>
      <c r="X29" s="60"/>
      <c r="Y29" s="31"/>
      <c r="Z29" s="61"/>
      <c r="AA29" s="60"/>
      <c r="AB29" s="31"/>
      <c r="AC29" s="61"/>
      <c r="AD29" s="60"/>
      <c r="AE29" s="31"/>
      <c r="AF29" s="61"/>
      <c r="AG29" s="60"/>
      <c r="AH29" s="31"/>
      <c r="AI29" s="61"/>
      <c r="AJ29" s="60"/>
      <c r="AK29" s="31"/>
      <c r="AL29" s="61"/>
      <c r="AM29" s="60"/>
      <c r="AN29" s="31"/>
      <c r="AO29" s="61"/>
      <c r="AP29" s="60"/>
      <c r="AQ29" s="31"/>
      <c r="AR29" s="61"/>
      <c r="AS29" s="60"/>
      <c r="AT29" s="31"/>
      <c r="AU29" s="61"/>
      <c r="AV29" s="60"/>
      <c r="AW29" s="31"/>
      <c r="AX29" s="61"/>
    </row>
    <row r="30" ht="39.75" customHeight="1">
      <c r="A30" s="62"/>
      <c r="B30" s="157"/>
      <c r="C30" s="105" t="str">
        <f>VLOOKUP(D30,[1]Saldo!A29:B31302,2,0)</f>
        <v>#ERROR!</v>
      </c>
      <c r="D30" s="68" t="s">
        <v>630</v>
      </c>
      <c r="E30" s="68" t="s">
        <v>603</v>
      </c>
      <c r="F30" s="149">
        <v>2.0</v>
      </c>
      <c r="G30" s="68">
        <v>7000.0</v>
      </c>
      <c r="H30" s="150">
        <f>'PAINEL DE CONTROLE'!$G$5</f>
        <v>28359</v>
      </c>
      <c r="I30" s="150">
        <v>24649.0</v>
      </c>
      <c r="J30" s="150">
        <f t="shared" si="3"/>
        <v>31649</v>
      </c>
      <c r="K30" s="151">
        <f t="shared" si="4"/>
        <v>3290</v>
      </c>
      <c r="L30" s="60"/>
      <c r="M30" s="31"/>
      <c r="N30" s="61"/>
      <c r="O30" s="60"/>
      <c r="P30" s="31"/>
      <c r="Q30" s="61"/>
      <c r="R30" s="60"/>
      <c r="S30" s="31"/>
      <c r="T30" s="61"/>
      <c r="U30" s="60"/>
      <c r="V30" s="31"/>
      <c r="W30" s="61"/>
      <c r="X30" s="60"/>
      <c r="Y30" s="31"/>
      <c r="Z30" s="61"/>
      <c r="AA30" s="60"/>
      <c r="AB30" s="31"/>
      <c r="AC30" s="61"/>
      <c r="AD30" s="60"/>
      <c r="AE30" s="31"/>
      <c r="AF30" s="61"/>
      <c r="AG30" s="60"/>
      <c r="AH30" s="31"/>
      <c r="AI30" s="61"/>
      <c r="AJ30" s="60"/>
      <c r="AK30" s="31"/>
      <c r="AL30" s="61"/>
      <c r="AM30" s="60"/>
      <c r="AN30" s="31"/>
      <c r="AO30" s="61"/>
      <c r="AP30" s="60"/>
      <c r="AQ30" s="31"/>
      <c r="AR30" s="61"/>
      <c r="AS30" s="60"/>
      <c r="AT30" s="31"/>
      <c r="AU30" s="61"/>
      <c r="AV30" s="60"/>
      <c r="AW30" s="31"/>
      <c r="AX30" s="61"/>
    </row>
    <row r="31" ht="39.75" customHeight="1">
      <c r="A31" s="62"/>
      <c r="B31" s="157"/>
      <c r="C31" s="105" t="str">
        <f>VLOOKUP(D31,[1]Saldo!A30:B31303,2,0)</f>
        <v>#ERROR!</v>
      </c>
      <c r="D31" s="68" t="s">
        <v>631</v>
      </c>
      <c r="E31" s="68" t="s">
        <v>632</v>
      </c>
      <c r="F31" s="149">
        <v>2.0</v>
      </c>
      <c r="G31" s="68">
        <v>7000.0</v>
      </c>
      <c r="H31" s="150">
        <f>'PAINEL DE CONTROLE'!$G$5</f>
        <v>28359</v>
      </c>
      <c r="I31" s="150">
        <v>24649.0</v>
      </c>
      <c r="J31" s="150">
        <f t="shared" si="3"/>
        <v>31649</v>
      </c>
      <c r="K31" s="151">
        <f t="shared" si="4"/>
        <v>3290</v>
      </c>
      <c r="L31" s="60"/>
      <c r="M31" s="31"/>
      <c r="N31" s="61"/>
      <c r="O31" s="60"/>
      <c r="P31" s="31"/>
      <c r="Q31" s="61"/>
      <c r="R31" s="60"/>
      <c r="S31" s="31"/>
      <c r="T31" s="61"/>
      <c r="U31" s="60"/>
      <c r="V31" s="31"/>
      <c r="W31" s="61"/>
      <c r="X31" s="60"/>
      <c r="Y31" s="31"/>
      <c r="Z31" s="61"/>
      <c r="AA31" s="60"/>
      <c r="AB31" s="31"/>
      <c r="AC31" s="61"/>
      <c r="AD31" s="60"/>
      <c r="AE31" s="31"/>
      <c r="AF31" s="61"/>
      <c r="AG31" s="60"/>
      <c r="AH31" s="31"/>
      <c r="AI31" s="61"/>
      <c r="AJ31" s="60"/>
      <c r="AK31" s="31"/>
      <c r="AL31" s="61"/>
      <c r="AM31" s="60"/>
      <c r="AN31" s="31"/>
      <c r="AO31" s="61"/>
      <c r="AP31" s="60"/>
      <c r="AQ31" s="31"/>
      <c r="AR31" s="61"/>
      <c r="AS31" s="60"/>
      <c r="AT31" s="31"/>
      <c r="AU31" s="61"/>
      <c r="AV31" s="60"/>
      <c r="AW31" s="31"/>
      <c r="AX31" s="61"/>
    </row>
    <row r="32" ht="39.75" customHeight="1">
      <c r="A32" s="62"/>
      <c r="B32" s="157"/>
      <c r="C32" s="105" t="str">
        <f>VLOOKUP(D32,[1]Saldo!A31:B31304,2,0)</f>
        <v>#ERROR!</v>
      </c>
      <c r="D32" s="68" t="s">
        <v>633</v>
      </c>
      <c r="E32" s="68" t="s">
        <v>634</v>
      </c>
      <c r="F32" s="149">
        <v>1.0</v>
      </c>
      <c r="G32" s="68">
        <v>7000.0</v>
      </c>
      <c r="H32" s="150">
        <f>'PAINEL DE CONTROLE'!$G$5</f>
        <v>28359</v>
      </c>
      <c r="I32" s="150">
        <v>24649.0</v>
      </c>
      <c r="J32" s="150">
        <f t="shared" si="3"/>
        <v>31649</v>
      </c>
      <c r="K32" s="151">
        <f t="shared" si="4"/>
        <v>3290</v>
      </c>
      <c r="L32" s="60"/>
      <c r="M32" s="31"/>
      <c r="N32" s="61"/>
      <c r="O32" s="60"/>
      <c r="P32" s="31"/>
      <c r="Q32" s="61"/>
      <c r="R32" s="60"/>
      <c r="S32" s="31"/>
      <c r="T32" s="61"/>
      <c r="U32" s="60"/>
      <c r="V32" s="31"/>
      <c r="W32" s="61"/>
      <c r="X32" s="60"/>
      <c r="Y32" s="31"/>
      <c r="Z32" s="61"/>
      <c r="AA32" s="60"/>
      <c r="AB32" s="31"/>
      <c r="AC32" s="61"/>
      <c r="AD32" s="60"/>
      <c r="AE32" s="31"/>
      <c r="AF32" s="61"/>
      <c r="AG32" s="60"/>
      <c r="AH32" s="31"/>
      <c r="AI32" s="61"/>
      <c r="AJ32" s="60"/>
      <c r="AK32" s="31"/>
      <c r="AL32" s="61"/>
      <c r="AM32" s="60"/>
      <c r="AN32" s="31"/>
      <c r="AO32" s="61"/>
      <c r="AP32" s="60"/>
      <c r="AQ32" s="31"/>
      <c r="AR32" s="61"/>
      <c r="AS32" s="60"/>
      <c r="AT32" s="31"/>
      <c r="AU32" s="61"/>
      <c r="AV32" s="60"/>
      <c r="AW32" s="31"/>
      <c r="AX32" s="61"/>
    </row>
    <row r="33" ht="39.75" customHeight="1">
      <c r="A33" s="62"/>
      <c r="B33" s="157"/>
      <c r="C33" s="105" t="str">
        <f>VLOOKUP(D33,[1]Saldo!A32:B31305,2,0)</f>
        <v>#ERROR!</v>
      </c>
      <c r="D33" s="68" t="s">
        <v>635</v>
      </c>
      <c r="E33" s="68" t="s">
        <v>636</v>
      </c>
      <c r="F33" s="149">
        <v>2.0</v>
      </c>
      <c r="G33" s="68">
        <v>7000.0</v>
      </c>
      <c r="H33" s="150">
        <f>'PAINEL DE CONTROLE'!$G$5</f>
        <v>28359</v>
      </c>
      <c r="I33" s="150">
        <v>24649.0</v>
      </c>
      <c r="J33" s="150">
        <f t="shared" si="3"/>
        <v>31649</v>
      </c>
      <c r="K33" s="151">
        <f t="shared" si="4"/>
        <v>3290</v>
      </c>
      <c r="L33" s="60"/>
      <c r="M33" s="31"/>
      <c r="N33" s="61"/>
      <c r="O33" s="60"/>
      <c r="P33" s="31"/>
      <c r="Q33" s="61"/>
      <c r="R33" s="60"/>
      <c r="S33" s="31"/>
      <c r="T33" s="61"/>
      <c r="U33" s="60"/>
      <c r="V33" s="31"/>
      <c r="W33" s="61"/>
      <c r="X33" s="60"/>
      <c r="Y33" s="31"/>
      <c r="Z33" s="61"/>
      <c r="AA33" s="60"/>
      <c r="AB33" s="31"/>
      <c r="AC33" s="61"/>
      <c r="AD33" s="60"/>
      <c r="AE33" s="31"/>
      <c r="AF33" s="61"/>
      <c r="AG33" s="60"/>
      <c r="AH33" s="31"/>
      <c r="AI33" s="61"/>
      <c r="AJ33" s="60"/>
      <c r="AK33" s="31"/>
      <c r="AL33" s="61"/>
      <c r="AM33" s="60"/>
      <c r="AN33" s="31"/>
      <c r="AO33" s="61"/>
      <c r="AP33" s="60"/>
      <c r="AQ33" s="31"/>
      <c r="AR33" s="61"/>
      <c r="AS33" s="60"/>
      <c r="AT33" s="31"/>
      <c r="AU33" s="61"/>
      <c r="AV33" s="60"/>
      <c r="AW33" s="31"/>
      <c r="AX33" s="61"/>
    </row>
    <row r="34" ht="39.75" customHeight="1">
      <c r="A34" s="62"/>
      <c r="B34" s="157"/>
      <c r="C34" s="105" t="str">
        <f>VLOOKUP(D34,[1]Saldo!A33:B31306,2,0)</f>
        <v>#ERROR!</v>
      </c>
      <c r="D34" s="68" t="s">
        <v>637</v>
      </c>
      <c r="E34" s="156" t="s">
        <v>638</v>
      </c>
      <c r="F34" s="149">
        <v>1.0</v>
      </c>
      <c r="G34" s="68">
        <v>7000.0</v>
      </c>
      <c r="H34" s="150">
        <f>'PAINEL DE CONTROLE'!$G$5</f>
        <v>28359</v>
      </c>
      <c r="I34" s="150">
        <v>24649.0</v>
      </c>
      <c r="J34" s="150">
        <f t="shared" si="3"/>
        <v>31649</v>
      </c>
      <c r="K34" s="151">
        <f t="shared" si="4"/>
        <v>3290</v>
      </c>
      <c r="L34" s="60"/>
      <c r="M34" s="31"/>
      <c r="N34" s="61"/>
      <c r="O34" s="60"/>
      <c r="P34" s="31"/>
      <c r="Q34" s="61"/>
      <c r="R34" s="60"/>
      <c r="S34" s="31"/>
      <c r="T34" s="61"/>
      <c r="U34" s="60"/>
      <c r="V34" s="31"/>
      <c r="W34" s="61"/>
      <c r="X34" s="60"/>
      <c r="Y34" s="31"/>
      <c r="Z34" s="61"/>
      <c r="AA34" s="60"/>
      <c r="AB34" s="31"/>
      <c r="AC34" s="61"/>
      <c r="AD34" s="60"/>
      <c r="AE34" s="31"/>
      <c r="AF34" s="61"/>
      <c r="AG34" s="60"/>
      <c r="AH34" s="31"/>
      <c r="AI34" s="61"/>
      <c r="AJ34" s="60"/>
      <c r="AK34" s="31"/>
      <c r="AL34" s="61"/>
      <c r="AM34" s="60"/>
      <c r="AN34" s="31"/>
      <c r="AO34" s="61"/>
      <c r="AP34" s="60"/>
      <c r="AQ34" s="31"/>
      <c r="AR34" s="61"/>
      <c r="AS34" s="60"/>
      <c r="AT34" s="31"/>
      <c r="AU34" s="61"/>
      <c r="AV34" s="60"/>
      <c r="AW34" s="31"/>
      <c r="AX34" s="61"/>
    </row>
    <row r="35" ht="39.75" customHeight="1">
      <c r="A35" s="63"/>
      <c r="B35" s="157"/>
      <c r="C35" s="105" t="str">
        <f>VLOOKUP(D35,[1]Saldo!A34:B31307,2,0)</f>
        <v>#ERROR!</v>
      </c>
      <c r="D35" s="68" t="s">
        <v>639</v>
      </c>
      <c r="E35" s="68" t="s">
        <v>640</v>
      </c>
      <c r="F35" s="149">
        <v>2.0</v>
      </c>
      <c r="G35" s="68">
        <v>7000.0</v>
      </c>
      <c r="H35" s="150">
        <f>'PAINEL DE CONTROLE'!$G$5</f>
        <v>28359</v>
      </c>
      <c r="I35" s="150">
        <v>24649.0</v>
      </c>
      <c r="J35" s="150">
        <f t="shared" si="3"/>
        <v>31649</v>
      </c>
      <c r="K35" s="151">
        <f t="shared" si="4"/>
        <v>3290</v>
      </c>
      <c r="L35" s="60"/>
      <c r="M35" s="31"/>
      <c r="N35" s="61"/>
      <c r="O35" s="60"/>
      <c r="P35" s="31"/>
      <c r="Q35" s="61"/>
      <c r="R35" s="60"/>
      <c r="S35" s="31"/>
      <c r="T35" s="61"/>
      <c r="U35" s="60"/>
      <c r="V35" s="31"/>
      <c r="W35" s="61"/>
      <c r="X35" s="60"/>
      <c r="Y35" s="31"/>
      <c r="Z35" s="61"/>
      <c r="AA35" s="60"/>
      <c r="AB35" s="31"/>
      <c r="AC35" s="61"/>
      <c r="AD35" s="60"/>
      <c r="AE35" s="31"/>
      <c r="AF35" s="61"/>
      <c r="AG35" s="60"/>
      <c r="AH35" s="31"/>
      <c r="AI35" s="61"/>
      <c r="AJ35" s="60"/>
      <c r="AK35" s="31"/>
      <c r="AL35" s="61"/>
      <c r="AM35" s="60"/>
      <c r="AN35" s="31"/>
      <c r="AO35" s="61"/>
      <c r="AP35" s="60"/>
      <c r="AQ35" s="31"/>
      <c r="AR35" s="61"/>
      <c r="AS35" s="60"/>
      <c r="AT35" s="31"/>
      <c r="AU35" s="61"/>
      <c r="AV35" s="60"/>
      <c r="AW35" s="31"/>
      <c r="AX35" s="61"/>
    </row>
    <row r="36" ht="39.75" customHeight="1">
      <c r="A36" s="147" t="s">
        <v>42</v>
      </c>
      <c r="B36" s="156"/>
      <c r="C36" s="105" t="str">
        <f>VLOOKUP(D36,[1]Saldo!A35:B31308,2,0)</f>
        <v>#ERROR!</v>
      </c>
      <c r="D36" s="68" t="s">
        <v>641</v>
      </c>
      <c r="E36" s="68" t="s">
        <v>595</v>
      </c>
      <c r="F36" s="149">
        <v>2.0</v>
      </c>
      <c r="G36" s="68">
        <v>6000.0</v>
      </c>
      <c r="H36" s="150">
        <f>'PAINEL DE CONTROLE'!$G$5</f>
        <v>28359</v>
      </c>
      <c r="I36" s="150">
        <v>24649.0</v>
      </c>
      <c r="J36" s="150">
        <f t="shared" si="3"/>
        <v>30649</v>
      </c>
      <c r="K36" s="151">
        <f t="shared" si="4"/>
        <v>2290</v>
      </c>
      <c r="L36" s="60"/>
      <c r="M36" s="31"/>
      <c r="N36" s="61"/>
      <c r="O36" s="60"/>
      <c r="P36" s="31"/>
      <c r="Q36" s="61"/>
      <c r="R36" s="60"/>
      <c r="S36" s="31"/>
      <c r="T36" s="61"/>
      <c r="U36" s="60"/>
      <c r="V36" s="31"/>
      <c r="W36" s="61"/>
      <c r="X36" s="60"/>
      <c r="Y36" s="31"/>
      <c r="Z36" s="61"/>
      <c r="AA36" s="60"/>
      <c r="AB36" s="31"/>
      <c r="AC36" s="61"/>
      <c r="AD36" s="60"/>
      <c r="AE36" s="31"/>
      <c r="AF36" s="61"/>
      <c r="AG36" s="60"/>
      <c r="AH36" s="31"/>
      <c r="AI36" s="61"/>
      <c r="AJ36" s="60"/>
      <c r="AK36" s="31"/>
      <c r="AL36" s="61"/>
      <c r="AM36" s="60"/>
      <c r="AN36" s="31"/>
      <c r="AO36" s="61"/>
      <c r="AP36" s="60"/>
      <c r="AQ36" s="31"/>
      <c r="AR36" s="61"/>
      <c r="AS36" s="60"/>
      <c r="AT36" s="31"/>
      <c r="AU36" s="61"/>
      <c r="AV36" s="60"/>
      <c r="AW36" s="31"/>
      <c r="AX36" s="61"/>
    </row>
    <row r="37" ht="39.75" customHeight="1">
      <c r="A37" s="62"/>
      <c r="B37" s="156"/>
      <c r="C37" s="105" t="str">
        <f>VLOOKUP(D37,[1]Saldo!A36:B31309,2,0)</f>
        <v>#ERROR!</v>
      </c>
      <c r="D37" s="68" t="s">
        <v>642</v>
      </c>
      <c r="E37" s="68" t="s">
        <v>643</v>
      </c>
      <c r="F37" s="149">
        <v>4.0</v>
      </c>
      <c r="G37" s="68">
        <v>6000.0</v>
      </c>
      <c r="H37" s="150">
        <f>'PAINEL DE CONTROLE'!$G$5</f>
        <v>28359</v>
      </c>
      <c r="I37" s="150">
        <v>24649.0</v>
      </c>
      <c r="J37" s="150">
        <f t="shared" si="3"/>
        <v>30649</v>
      </c>
      <c r="K37" s="151">
        <f t="shared" si="4"/>
        <v>2290</v>
      </c>
      <c r="L37" s="60"/>
      <c r="M37" s="31"/>
      <c r="N37" s="61"/>
      <c r="O37" s="60"/>
      <c r="P37" s="31"/>
      <c r="Q37" s="61"/>
      <c r="R37" s="60"/>
      <c r="S37" s="31"/>
      <c r="T37" s="61"/>
      <c r="U37" s="60"/>
      <c r="V37" s="31"/>
      <c r="W37" s="61"/>
      <c r="X37" s="60"/>
      <c r="Y37" s="31"/>
      <c r="Z37" s="61"/>
      <c r="AA37" s="60"/>
      <c r="AB37" s="31"/>
      <c r="AC37" s="61"/>
      <c r="AD37" s="60"/>
      <c r="AE37" s="31"/>
      <c r="AF37" s="61"/>
      <c r="AG37" s="60"/>
      <c r="AH37" s="31"/>
      <c r="AI37" s="61"/>
      <c r="AJ37" s="60"/>
      <c r="AK37" s="31"/>
      <c r="AL37" s="61"/>
      <c r="AM37" s="60"/>
      <c r="AN37" s="31"/>
      <c r="AO37" s="61"/>
      <c r="AP37" s="60"/>
      <c r="AQ37" s="31"/>
      <c r="AR37" s="61"/>
      <c r="AS37" s="60"/>
      <c r="AT37" s="31"/>
      <c r="AU37" s="61"/>
      <c r="AV37" s="60"/>
      <c r="AW37" s="31"/>
      <c r="AX37" s="61"/>
    </row>
    <row r="38" ht="39.75" customHeight="1">
      <c r="A38" s="62"/>
      <c r="B38" s="156"/>
      <c r="C38" s="105" t="str">
        <f>VLOOKUP(D38,[1]Saldo!A37:B31310,2,0)</f>
        <v>#ERROR!</v>
      </c>
      <c r="D38" s="68" t="s">
        <v>644</v>
      </c>
      <c r="E38" s="68" t="s">
        <v>645</v>
      </c>
      <c r="F38" s="149">
        <v>2.0</v>
      </c>
      <c r="G38" s="68">
        <v>6000.0</v>
      </c>
      <c r="H38" s="150">
        <f>'PAINEL DE CONTROLE'!$G$5</f>
        <v>28359</v>
      </c>
      <c r="I38" s="150">
        <v>24649.0</v>
      </c>
      <c r="J38" s="150">
        <f t="shared" si="3"/>
        <v>30649</v>
      </c>
      <c r="K38" s="151">
        <f t="shared" si="4"/>
        <v>2290</v>
      </c>
      <c r="L38" s="60"/>
      <c r="M38" s="31"/>
      <c r="N38" s="61"/>
      <c r="O38" s="60"/>
      <c r="P38" s="31"/>
      <c r="Q38" s="61"/>
      <c r="R38" s="60"/>
      <c r="S38" s="31"/>
      <c r="T38" s="61"/>
      <c r="U38" s="60"/>
      <c r="V38" s="31"/>
      <c r="W38" s="61"/>
      <c r="X38" s="60"/>
      <c r="Y38" s="31"/>
      <c r="Z38" s="61"/>
      <c r="AA38" s="60"/>
      <c r="AB38" s="31"/>
      <c r="AC38" s="61"/>
      <c r="AD38" s="60"/>
      <c r="AE38" s="31"/>
      <c r="AF38" s="61"/>
      <c r="AG38" s="60"/>
      <c r="AH38" s="31"/>
      <c r="AI38" s="61"/>
      <c r="AJ38" s="60"/>
      <c r="AK38" s="31"/>
      <c r="AL38" s="61"/>
      <c r="AM38" s="60"/>
      <c r="AN38" s="31"/>
      <c r="AO38" s="61"/>
      <c r="AP38" s="60"/>
      <c r="AQ38" s="31"/>
      <c r="AR38" s="61"/>
      <c r="AS38" s="60"/>
      <c r="AT38" s="31"/>
      <c r="AU38" s="61"/>
      <c r="AV38" s="60"/>
      <c r="AW38" s="31"/>
      <c r="AX38" s="61"/>
    </row>
    <row r="39" ht="39.75" customHeight="1">
      <c r="A39" s="62"/>
      <c r="B39" s="156"/>
      <c r="C39" s="105" t="str">
        <f>VLOOKUP(D39,[1]Saldo!A38:B31311,2,0)</f>
        <v>#ERROR!</v>
      </c>
      <c r="D39" s="68" t="s">
        <v>646</v>
      </c>
      <c r="E39" s="68" t="s">
        <v>647</v>
      </c>
      <c r="F39" s="149">
        <v>2.0</v>
      </c>
      <c r="G39" s="68">
        <v>12000.0</v>
      </c>
      <c r="H39" s="150">
        <f>'PAINEL DE CONTROLE'!$G$5</f>
        <v>28359</v>
      </c>
      <c r="I39" s="150">
        <v>24649.0</v>
      </c>
      <c r="J39" s="150">
        <f t="shared" si="3"/>
        <v>36649</v>
      </c>
      <c r="K39" s="151">
        <f t="shared" si="4"/>
        <v>8290</v>
      </c>
      <c r="L39" s="60"/>
      <c r="M39" s="31"/>
      <c r="N39" s="61"/>
      <c r="O39" s="60"/>
      <c r="P39" s="31"/>
      <c r="Q39" s="61"/>
      <c r="R39" s="60"/>
      <c r="S39" s="31"/>
      <c r="T39" s="61"/>
      <c r="U39" s="60"/>
      <c r="V39" s="31"/>
      <c r="W39" s="61"/>
      <c r="X39" s="60"/>
      <c r="Y39" s="31"/>
      <c r="Z39" s="61"/>
      <c r="AA39" s="60"/>
      <c r="AB39" s="31"/>
      <c r="AC39" s="61"/>
      <c r="AD39" s="60"/>
      <c r="AE39" s="31"/>
      <c r="AF39" s="61"/>
      <c r="AG39" s="60"/>
      <c r="AH39" s="31"/>
      <c r="AI39" s="61"/>
      <c r="AJ39" s="60"/>
      <c r="AK39" s="31"/>
      <c r="AL39" s="61"/>
      <c r="AM39" s="60"/>
      <c r="AN39" s="31"/>
      <c r="AO39" s="61"/>
      <c r="AP39" s="60"/>
      <c r="AQ39" s="31"/>
      <c r="AR39" s="61"/>
      <c r="AS39" s="60"/>
      <c r="AT39" s="31"/>
      <c r="AU39" s="61"/>
      <c r="AV39" s="60"/>
      <c r="AW39" s="31"/>
      <c r="AX39" s="61"/>
    </row>
    <row r="40" ht="39.75" customHeight="1">
      <c r="A40" s="63"/>
      <c r="B40" s="156"/>
      <c r="C40" s="105" t="str">
        <f>VLOOKUP(D40,[1]Saldo!A39:B31312,2,0)</f>
        <v>#ERROR!</v>
      </c>
      <c r="D40" s="68" t="s">
        <v>648</v>
      </c>
      <c r="E40" s="68" t="s">
        <v>556</v>
      </c>
      <c r="F40" s="149">
        <v>2.0</v>
      </c>
      <c r="G40" s="68">
        <v>12000.0</v>
      </c>
      <c r="H40" s="150">
        <f>'PAINEL DE CONTROLE'!$G$5</f>
        <v>28359</v>
      </c>
      <c r="I40" s="150">
        <v>24649.0</v>
      </c>
      <c r="J40" s="150">
        <f t="shared" si="3"/>
        <v>36649</v>
      </c>
      <c r="K40" s="151">
        <f t="shared" si="4"/>
        <v>8290</v>
      </c>
      <c r="L40" s="60"/>
      <c r="M40" s="31"/>
      <c r="N40" s="61"/>
      <c r="O40" s="60"/>
      <c r="P40" s="31"/>
      <c r="Q40" s="61"/>
      <c r="R40" s="60"/>
      <c r="S40" s="31"/>
      <c r="T40" s="61"/>
      <c r="U40" s="60"/>
      <c r="V40" s="31"/>
      <c r="W40" s="61"/>
      <c r="X40" s="60"/>
      <c r="Y40" s="31"/>
      <c r="Z40" s="61"/>
      <c r="AA40" s="60"/>
      <c r="AB40" s="31"/>
      <c r="AC40" s="61"/>
      <c r="AD40" s="60"/>
      <c r="AE40" s="31"/>
      <c r="AF40" s="61"/>
      <c r="AG40" s="60"/>
      <c r="AH40" s="31"/>
      <c r="AI40" s="61"/>
      <c r="AJ40" s="60"/>
      <c r="AK40" s="31"/>
      <c r="AL40" s="61"/>
      <c r="AM40" s="60"/>
      <c r="AN40" s="31"/>
      <c r="AO40" s="61"/>
      <c r="AP40" s="60"/>
      <c r="AQ40" s="31"/>
      <c r="AR40" s="61"/>
      <c r="AS40" s="60"/>
      <c r="AT40" s="31"/>
      <c r="AU40" s="61"/>
      <c r="AV40" s="60"/>
      <c r="AW40" s="31"/>
      <c r="AX40" s="61"/>
    </row>
    <row r="41" ht="39.75" customHeight="1">
      <c r="A41" s="147" t="s">
        <v>43</v>
      </c>
      <c r="B41" s="156"/>
      <c r="C41" s="105" t="str">
        <f>VLOOKUP(D41,[1]Saldo!A40:B31313,2,0)</f>
        <v>#ERROR!</v>
      </c>
      <c r="D41" s="68" t="s">
        <v>649</v>
      </c>
      <c r="E41" s="68" t="s">
        <v>650</v>
      </c>
      <c r="F41" s="149">
        <v>1.0</v>
      </c>
      <c r="G41" s="68">
        <v>5000.0</v>
      </c>
      <c r="H41" s="150">
        <f>'PAINEL DE CONTROLE'!$G$5</f>
        <v>28359</v>
      </c>
      <c r="I41" s="150">
        <v>24649.0</v>
      </c>
      <c r="J41" s="150">
        <f t="shared" si="3"/>
        <v>29649</v>
      </c>
      <c r="K41" s="151">
        <f t="shared" si="4"/>
        <v>1290</v>
      </c>
      <c r="L41" s="60"/>
      <c r="M41" s="31"/>
      <c r="N41" s="61"/>
      <c r="O41" s="60"/>
      <c r="P41" s="31"/>
      <c r="Q41" s="61"/>
      <c r="R41" s="60"/>
      <c r="S41" s="31"/>
      <c r="T41" s="61"/>
      <c r="U41" s="60"/>
      <c r="V41" s="31"/>
      <c r="W41" s="61"/>
      <c r="X41" s="60"/>
      <c r="Y41" s="31"/>
      <c r="Z41" s="61"/>
      <c r="AA41" s="60"/>
      <c r="AB41" s="31"/>
      <c r="AC41" s="61"/>
      <c r="AD41" s="60"/>
      <c r="AE41" s="31"/>
      <c r="AF41" s="61"/>
      <c r="AG41" s="60"/>
      <c r="AH41" s="31"/>
      <c r="AI41" s="61"/>
      <c r="AJ41" s="60"/>
      <c r="AK41" s="31"/>
      <c r="AL41" s="61"/>
      <c r="AM41" s="60"/>
      <c r="AN41" s="31"/>
      <c r="AO41" s="61"/>
      <c r="AP41" s="60"/>
      <c r="AQ41" s="31"/>
      <c r="AR41" s="61"/>
      <c r="AS41" s="60"/>
      <c r="AT41" s="31"/>
      <c r="AU41" s="61"/>
      <c r="AV41" s="60"/>
      <c r="AW41" s="31"/>
      <c r="AX41" s="61"/>
    </row>
    <row r="42" ht="39.75" customHeight="1">
      <c r="A42" s="62"/>
      <c r="B42" s="156"/>
      <c r="C42" s="105" t="str">
        <f>VLOOKUP(D42,[1]Saldo!A41:B31314,2,0)</f>
        <v>#ERROR!</v>
      </c>
      <c r="D42" s="68" t="s">
        <v>639</v>
      </c>
      <c r="E42" s="68" t="s">
        <v>612</v>
      </c>
      <c r="F42" s="149">
        <v>1.0</v>
      </c>
      <c r="G42" s="68">
        <v>5000.0</v>
      </c>
      <c r="H42" s="150">
        <f>'PAINEL DE CONTROLE'!$G$5</f>
        <v>28359</v>
      </c>
      <c r="I42" s="150">
        <v>24649.0</v>
      </c>
      <c r="J42" s="150">
        <f t="shared" si="3"/>
        <v>29649</v>
      </c>
      <c r="K42" s="151">
        <f t="shared" si="4"/>
        <v>1290</v>
      </c>
      <c r="L42" s="60"/>
      <c r="M42" s="31"/>
      <c r="N42" s="61"/>
      <c r="O42" s="60"/>
      <c r="P42" s="31"/>
      <c r="Q42" s="61"/>
      <c r="R42" s="60"/>
      <c r="S42" s="31"/>
      <c r="T42" s="61"/>
      <c r="U42" s="60"/>
      <c r="V42" s="31"/>
      <c r="W42" s="61"/>
      <c r="X42" s="60"/>
      <c r="Y42" s="31"/>
      <c r="Z42" s="61"/>
      <c r="AA42" s="60"/>
      <c r="AB42" s="31"/>
      <c r="AC42" s="61"/>
      <c r="AD42" s="60"/>
      <c r="AE42" s="31"/>
      <c r="AF42" s="61"/>
      <c r="AG42" s="60"/>
      <c r="AH42" s="31"/>
      <c r="AI42" s="61"/>
      <c r="AJ42" s="60"/>
      <c r="AK42" s="31"/>
      <c r="AL42" s="61"/>
      <c r="AM42" s="60"/>
      <c r="AN42" s="31"/>
      <c r="AO42" s="61"/>
      <c r="AP42" s="60"/>
      <c r="AQ42" s="31"/>
      <c r="AR42" s="61"/>
      <c r="AS42" s="60"/>
      <c r="AT42" s="31"/>
      <c r="AU42" s="61"/>
      <c r="AV42" s="60"/>
      <c r="AW42" s="31"/>
      <c r="AX42" s="61"/>
    </row>
    <row r="43" ht="39.75" customHeight="1">
      <c r="A43" s="62"/>
      <c r="B43" s="156"/>
      <c r="C43" s="105" t="str">
        <f>VLOOKUP(D43,[1]Saldo!A42:B31315,2,0)</f>
        <v>#ERROR!</v>
      </c>
      <c r="D43" s="68" t="s">
        <v>651</v>
      </c>
      <c r="E43" s="68" t="s">
        <v>612</v>
      </c>
      <c r="F43" s="149">
        <v>1.0</v>
      </c>
      <c r="G43" s="68">
        <v>5000.0</v>
      </c>
      <c r="H43" s="150">
        <f>'PAINEL DE CONTROLE'!$G$5</f>
        <v>28359</v>
      </c>
      <c r="I43" s="150">
        <v>24649.0</v>
      </c>
      <c r="J43" s="150">
        <f t="shared" si="3"/>
        <v>29649</v>
      </c>
      <c r="K43" s="151">
        <f t="shared" si="4"/>
        <v>1290</v>
      </c>
      <c r="L43" s="60"/>
      <c r="M43" s="31"/>
      <c r="N43" s="61"/>
      <c r="O43" s="60"/>
      <c r="P43" s="31"/>
      <c r="Q43" s="61"/>
      <c r="R43" s="60"/>
      <c r="S43" s="31"/>
      <c r="T43" s="61"/>
      <c r="U43" s="60"/>
      <c r="V43" s="31"/>
      <c r="W43" s="61"/>
      <c r="X43" s="60"/>
      <c r="Y43" s="31"/>
      <c r="Z43" s="61"/>
      <c r="AA43" s="60"/>
      <c r="AB43" s="31"/>
      <c r="AC43" s="61"/>
      <c r="AD43" s="60"/>
      <c r="AE43" s="31"/>
      <c r="AF43" s="61"/>
      <c r="AG43" s="60"/>
      <c r="AH43" s="31"/>
      <c r="AI43" s="61"/>
      <c r="AJ43" s="60"/>
      <c r="AK43" s="31"/>
      <c r="AL43" s="61"/>
      <c r="AM43" s="60"/>
      <c r="AN43" s="31"/>
      <c r="AO43" s="61"/>
      <c r="AP43" s="60"/>
      <c r="AQ43" s="31"/>
      <c r="AR43" s="61"/>
      <c r="AS43" s="60"/>
      <c r="AT43" s="31"/>
      <c r="AU43" s="61"/>
      <c r="AV43" s="60"/>
      <c r="AW43" s="31"/>
      <c r="AX43" s="61"/>
    </row>
    <row r="44" ht="39.75" customHeight="1">
      <c r="A44" s="62"/>
      <c r="B44" s="156"/>
      <c r="C44" s="105" t="str">
        <f>VLOOKUP(D44,[1]Saldo!A43:B31316,2,0)</f>
        <v>#ERROR!</v>
      </c>
      <c r="D44" s="68" t="s">
        <v>652</v>
      </c>
      <c r="E44" s="68" t="s">
        <v>653</v>
      </c>
      <c r="F44" s="149">
        <v>2.0</v>
      </c>
      <c r="G44" s="68">
        <v>5000.0</v>
      </c>
      <c r="H44" s="150">
        <f>'PAINEL DE CONTROLE'!$G$5</f>
        <v>28359</v>
      </c>
      <c r="I44" s="150">
        <v>24649.0</v>
      </c>
      <c r="J44" s="150">
        <f t="shared" si="3"/>
        <v>29649</v>
      </c>
      <c r="K44" s="151">
        <f t="shared" si="4"/>
        <v>1290</v>
      </c>
      <c r="L44" s="60"/>
      <c r="M44" s="31"/>
      <c r="N44" s="61"/>
      <c r="O44" s="60"/>
      <c r="P44" s="31"/>
      <c r="Q44" s="61"/>
      <c r="R44" s="60"/>
      <c r="S44" s="31"/>
      <c r="T44" s="61"/>
      <c r="U44" s="60"/>
      <c r="V44" s="31"/>
      <c r="W44" s="61"/>
      <c r="X44" s="60"/>
      <c r="Y44" s="31"/>
      <c r="Z44" s="61"/>
      <c r="AA44" s="60"/>
      <c r="AB44" s="31"/>
      <c r="AC44" s="61"/>
      <c r="AD44" s="60"/>
      <c r="AE44" s="31"/>
      <c r="AF44" s="61"/>
      <c r="AG44" s="60"/>
      <c r="AH44" s="31"/>
      <c r="AI44" s="61"/>
      <c r="AJ44" s="60"/>
      <c r="AK44" s="31"/>
      <c r="AL44" s="61"/>
      <c r="AM44" s="60"/>
      <c r="AN44" s="31"/>
      <c r="AO44" s="61"/>
      <c r="AP44" s="60"/>
      <c r="AQ44" s="31"/>
      <c r="AR44" s="61"/>
      <c r="AS44" s="60"/>
      <c r="AT44" s="31"/>
      <c r="AU44" s="61"/>
      <c r="AV44" s="60"/>
      <c r="AW44" s="31"/>
      <c r="AX44" s="61"/>
    </row>
    <row r="45" ht="39.75" customHeight="1">
      <c r="A45" s="62"/>
      <c r="B45" s="156"/>
      <c r="C45" s="105" t="str">
        <f>VLOOKUP(D45,[1]Saldo!A44:B31317,2,0)</f>
        <v>#ERROR!</v>
      </c>
      <c r="D45" s="68" t="s">
        <v>654</v>
      </c>
      <c r="E45" s="68" t="s">
        <v>655</v>
      </c>
      <c r="F45" s="149">
        <v>1.0</v>
      </c>
      <c r="G45" s="68">
        <v>5000.0</v>
      </c>
      <c r="H45" s="150">
        <f>'PAINEL DE CONTROLE'!$G$5</f>
        <v>28359</v>
      </c>
      <c r="I45" s="150">
        <v>24649.0</v>
      </c>
      <c r="J45" s="150">
        <f t="shared" si="3"/>
        <v>29649</v>
      </c>
      <c r="K45" s="151">
        <f t="shared" si="4"/>
        <v>1290</v>
      </c>
      <c r="L45" s="60"/>
      <c r="M45" s="31"/>
      <c r="N45" s="61"/>
      <c r="O45" s="60"/>
      <c r="P45" s="31"/>
      <c r="Q45" s="61"/>
      <c r="R45" s="60"/>
      <c r="S45" s="31"/>
      <c r="T45" s="61"/>
      <c r="U45" s="60"/>
      <c r="V45" s="31"/>
      <c r="W45" s="61"/>
      <c r="X45" s="60"/>
      <c r="Y45" s="31"/>
      <c r="Z45" s="61"/>
      <c r="AA45" s="60"/>
      <c r="AB45" s="31"/>
      <c r="AC45" s="61"/>
      <c r="AD45" s="60"/>
      <c r="AE45" s="31"/>
      <c r="AF45" s="61"/>
      <c r="AG45" s="60"/>
      <c r="AH45" s="31"/>
      <c r="AI45" s="61"/>
      <c r="AJ45" s="60"/>
      <c r="AK45" s="31"/>
      <c r="AL45" s="61"/>
      <c r="AM45" s="60"/>
      <c r="AN45" s="31"/>
      <c r="AO45" s="61"/>
      <c r="AP45" s="60"/>
      <c r="AQ45" s="31"/>
      <c r="AR45" s="61"/>
      <c r="AS45" s="60"/>
      <c r="AT45" s="31"/>
      <c r="AU45" s="61"/>
      <c r="AV45" s="60"/>
      <c r="AW45" s="31"/>
      <c r="AX45" s="61"/>
    </row>
    <row r="46" ht="39.75" customHeight="1">
      <c r="A46" s="62"/>
      <c r="B46" s="156"/>
      <c r="C46" s="105" t="str">
        <f>VLOOKUP(D46,[1]Saldo!A45:B31318,2,0)</f>
        <v>#ERROR!</v>
      </c>
      <c r="D46" s="68" t="s">
        <v>656</v>
      </c>
      <c r="E46" s="68" t="s">
        <v>657</v>
      </c>
      <c r="F46" s="149">
        <v>1.0</v>
      </c>
      <c r="G46" s="68">
        <v>5000.0</v>
      </c>
      <c r="H46" s="150">
        <f>'PAINEL DE CONTROLE'!$G$5</f>
        <v>28359</v>
      </c>
      <c r="I46" s="150">
        <v>24649.0</v>
      </c>
      <c r="J46" s="150">
        <f t="shared" si="3"/>
        <v>29649</v>
      </c>
      <c r="K46" s="151">
        <f t="shared" si="4"/>
        <v>1290</v>
      </c>
      <c r="L46" s="60"/>
      <c r="M46" s="31"/>
      <c r="N46" s="61"/>
      <c r="O46" s="60"/>
      <c r="P46" s="31"/>
      <c r="Q46" s="61"/>
      <c r="R46" s="60"/>
      <c r="S46" s="31"/>
      <c r="T46" s="61"/>
      <c r="U46" s="60"/>
      <c r="V46" s="31"/>
      <c r="W46" s="61"/>
      <c r="X46" s="60"/>
      <c r="Y46" s="31"/>
      <c r="Z46" s="61"/>
      <c r="AA46" s="60"/>
      <c r="AB46" s="31"/>
      <c r="AC46" s="61"/>
      <c r="AD46" s="60"/>
      <c r="AE46" s="31"/>
      <c r="AF46" s="61"/>
      <c r="AG46" s="60"/>
      <c r="AH46" s="31"/>
      <c r="AI46" s="61"/>
      <c r="AJ46" s="60"/>
      <c r="AK46" s="31"/>
      <c r="AL46" s="61"/>
      <c r="AM46" s="60"/>
      <c r="AN46" s="31"/>
      <c r="AO46" s="61"/>
      <c r="AP46" s="60"/>
      <c r="AQ46" s="31"/>
      <c r="AR46" s="61"/>
      <c r="AS46" s="60"/>
      <c r="AT46" s="31"/>
      <c r="AU46" s="61"/>
      <c r="AV46" s="60"/>
      <c r="AW46" s="31"/>
      <c r="AX46" s="61"/>
    </row>
    <row r="47" ht="39.75" customHeight="1">
      <c r="A47" s="62"/>
      <c r="B47" s="156"/>
      <c r="C47" s="105" t="str">
        <f>VLOOKUP(D47,[1]Saldo!A46:B31319,2,0)</f>
        <v>#ERROR!</v>
      </c>
      <c r="D47" s="68" t="s">
        <v>658</v>
      </c>
      <c r="E47" s="68" t="s">
        <v>657</v>
      </c>
      <c r="F47" s="149">
        <v>1.0</v>
      </c>
      <c r="G47" s="68">
        <v>5000.0</v>
      </c>
      <c r="H47" s="150">
        <f>'PAINEL DE CONTROLE'!$G$5</f>
        <v>28359</v>
      </c>
      <c r="I47" s="150">
        <v>24649.0</v>
      </c>
      <c r="J47" s="150">
        <f t="shared" si="3"/>
        <v>29649</v>
      </c>
      <c r="K47" s="151">
        <f t="shared" si="4"/>
        <v>1290</v>
      </c>
      <c r="L47" s="60"/>
      <c r="M47" s="31"/>
      <c r="N47" s="61"/>
      <c r="O47" s="60"/>
      <c r="P47" s="31"/>
      <c r="Q47" s="61"/>
      <c r="R47" s="60"/>
      <c r="S47" s="31"/>
      <c r="T47" s="61"/>
      <c r="U47" s="60"/>
      <c r="V47" s="31"/>
      <c r="W47" s="61"/>
      <c r="X47" s="60"/>
      <c r="Y47" s="31"/>
      <c r="Z47" s="61"/>
      <c r="AA47" s="60"/>
      <c r="AB47" s="31"/>
      <c r="AC47" s="61"/>
      <c r="AD47" s="60"/>
      <c r="AE47" s="31"/>
      <c r="AF47" s="61"/>
      <c r="AG47" s="60"/>
      <c r="AH47" s="31"/>
      <c r="AI47" s="61"/>
      <c r="AJ47" s="60"/>
      <c r="AK47" s="31"/>
      <c r="AL47" s="61"/>
      <c r="AM47" s="60"/>
      <c r="AN47" s="31"/>
      <c r="AO47" s="61"/>
      <c r="AP47" s="60"/>
      <c r="AQ47" s="31"/>
      <c r="AR47" s="61"/>
      <c r="AS47" s="60"/>
      <c r="AT47" s="31"/>
      <c r="AU47" s="61"/>
      <c r="AV47" s="60"/>
      <c r="AW47" s="31"/>
      <c r="AX47" s="61"/>
    </row>
    <row r="48" ht="39.75" customHeight="1">
      <c r="A48" s="62"/>
      <c r="B48" s="156"/>
      <c r="C48" s="105" t="str">
        <f>VLOOKUP(D48,[1]Saldo!A47:B31320,2,0)</f>
        <v>#ERROR!</v>
      </c>
      <c r="D48" s="68" t="s">
        <v>659</v>
      </c>
      <c r="E48" s="68" t="s">
        <v>657</v>
      </c>
      <c r="F48" s="149">
        <v>4.0</v>
      </c>
      <c r="G48" s="68">
        <v>5000.0</v>
      </c>
      <c r="H48" s="150">
        <f>'PAINEL DE CONTROLE'!$G$5</f>
        <v>28359</v>
      </c>
      <c r="I48" s="150">
        <v>24649.0</v>
      </c>
      <c r="J48" s="150">
        <f t="shared" si="3"/>
        <v>29649</v>
      </c>
      <c r="K48" s="151">
        <f t="shared" si="4"/>
        <v>1290</v>
      </c>
      <c r="L48" s="60"/>
      <c r="M48" s="31"/>
      <c r="N48" s="61"/>
      <c r="O48" s="60"/>
      <c r="P48" s="31"/>
      <c r="Q48" s="61"/>
      <c r="R48" s="60"/>
      <c r="S48" s="31"/>
      <c r="T48" s="61"/>
      <c r="U48" s="60"/>
      <c r="V48" s="31"/>
      <c r="W48" s="61"/>
      <c r="X48" s="60"/>
      <c r="Y48" s="31"/>
      <c r="Z48" s="61"/>
      <c r="AA48" s="60"/>
      <c r="AB48" s="31"/>
      <c r="AC48" s="61"/>
      <c r="AD48" s="60"/>
      <c r="AE48" s="31"/>
      <c r="AF48" s="61"/>
      <c r="AG48" s="60"/>
      <c r="AH48" s="31"/>
      <c r="AI48" s="61"/>
      <c r="AJ48" s="60"/>
      <c r="AK48" s="31"/>
      <c r="AL48" s="61"/>
      <c r="AM48" s="60"/>
      <c r="AN48" s="31"/>
      <c r="AO48" s="61"/>
      <c r="AP48" s="60"/>
      <c r="AQ48" s="31"/>
      <c r="AR48" s="61"/>
      <c r="AS48" s="60"/>
      <c r="AT48" s="31"/>
      <c r="AU48" s="61"/>
      <c r="AV48" s="60"/>
      <c r="AW48" s="31"/>
      <c r="AX48" s="61"/>
    </row>
    <row r="49" ht="39.75" customHeight="1">
      <c r="A49" s="62"/>
      <c r="B49" s="156"/>
      <c r="C49" s="105" t="str">
        <f>VLOOKUP(D49,[1]Saldo!A48:B31321,2,0)</f>
        <v>#ERROR!</v>
      </c>
      <c r="D49" s="68" t="s">
        <v>660</v>
      </c>
      <c r="E49" s="68" t="s">
        <v>661</v>
      </c>
      <c r="F49" s="149">
        <v>4.0</v>
      </c>
      <c r="G49" s="68">
        <v>5000.0</v>
      </c>
      <c r="H49" s="150">
        <f>'PAINEL DE CONTROLE'!$G$5</f>
        <v>28359</v>
      </c>
      <c r="I49" s="150">
        <v>24649.0</v>
      </c>
      <c r="J49" s="150">
        <f t="shared" si="3"/>
        <v>29649</v>
      </c>
      <c r="K49" s="151">
        <f t="shared" si="4"/>
        <v>1290</v>
      </c>
      <c r="L49" s="60"/>
      <c r="M49" s="31"/>
      <c r="N49" s="61"/>
      <c r="O49" s="60"/>
      <c r="P49" s="31"/>
      <c r="Q49" s="61"/>
      <c r="R49" s="60"/>
      <c r="S49" s="31"/>
      <c r="T49" s="61"/>
      <c r="U49" s="60"/>
      <c r="V49" s="31"/>
      <c r="W49" s="61"/>
      <c r="X49" s="60"/>
      <c r="Y49" s="31"/>
      <c r="Z49" s="61"/>
      <c r="AA49" s="60"/>
      <c r="AB49" s="31"/>
      <c r="AC49" s="61"/>
      <c r="AD49" s="60"/>
      <c r="AE49" s="31"/>
      <c r="AF49" s="61"/>
      <c r="AG49" s="60"/>
      <c r="AH49" s="31"/>
      <c r="AI49" s="61"/>
      <c r="AJ49" s="60"/>
      <c r="AK49" s="31"/>
      <c r="AL49" s="61"/>
      <c r="AM49" s="60"/>
      <c r="AN49" s="31"/>
      <c r="AO49" s="61"/>
      <c r="AP49" s="60"/>
      <c r="AQ49" s="31"/>
      <c r="AR49" s="61"/>
      <c r="AS49" s="60"/>
      <c r="AT49" s="31"/>
      <c r="AU49" s="61"/>
      <c r="AV49" s="60"/>
      <c r="AW49" s="31"/>
      <c r="AX49" s="61"/>
    </row>
    <row r="50" ht="39.75" customHeight="1">
      <c r="A50" s="62"/>
      <c r="B50" s="156"/>
      <c r="C50" s="105" t="str">
        <f>VLOOKUP(D50,[1]Saldo!A49:B31322,2,0)</f>
        <v>#ERROR!</v>
      </c>
      <c r="D50" s="68" t="s">
        <v>662</v>
      </c>
      <c r="E50" s="68" t="s">
        <v>653</v>
      </c>
      <c r="F50" s="149">
        <v>8.0</v>
      </c>
      <c r="G50" s="68">
        <v>5000.0</v>
      </c>
      <c r="H50" s="150">
        <f>'PAINEL DE CONTROLE'!$G$5</f>
        <v>28359</v>
      </c>
      <c r="I50" s="150">
        <v>24649.0</v>
      </c>
      <c r="J50" s="150">
        <f t="shared" si="3"/>
        <v>29649</v>
      </c>
      <c r="K50" s="151">
        <f t="shared" si="4"/>
        <v>1290</v>
      </c>
      <c r="L50" s="60"/>
      <c r="M50" s="31"/>
      <c r="N50" s="61"/>
      <c r="O50" s="60"/>
      <c r="P50" s="31"/>
      <c r="Q50" s="61"/>
      <c r="R50" s="60"/>
      <c r="S50" s="31"/>
      <c r="T50" s="61"/>
      <c r="U50" s="60"/>
      <c r="V50" s="31"/>
      <c r="W50" s="61"/>
      <c r="X50" s="60"/>
      <c r="Y50" s="31"/>
      <c r="Z50" s="61"/>
      <c r="AA50" s="60"/>
      <c r="AB50" s="31"/>
      <c r="AC50" s="61"/>
      <c r="AD50" s="60"/>
      <c r="AE50" s="31"/>
      <c r="AF50" s="61"/>
      <c r="AG50" s="60"/>
      <c r="AH50" s="31"/>
      <c r="AI50" s="61"/>
      <c r="AJ50" s="60"/>
      <c r="AK50" s="31"/>
      <c r="AL50" s="61"/>
      <c r="AM50" s="60"/>
      <c r="AN50" s="31"/>
      <c r="AO50" s="61"/>
      <c r="AP50" s="60"/>
      <c r="AQ50" s="31"/>
      <c r="AR50" s="61"/>
      <c r="AS50" s="60"/>
      <c r="AT50" s="31"/>
      <c r="AU50" s="61"/>
      <c r="AV50" s="60"/>
      <c r="AW50" s="31"/>
      <c r="AX50" s="61"/>
    </row>
    <row r="51" ht="39.75" customHeight="1">
      <c r="A51" s="62"/>
      <c r="B51" s="156"/>
      <c r="C51" s="105" t="str">
        <f>VLOOKUP(D51,[1]Saldo!A50:B31323,2,0)</f>
        <v>#ERROR!</v>
      </c>
      <c r="D51" s="68" t="s">
        <v>663</v>
      </c>
      <c r="E51" s="68" t="s">
        <v>664</v>
      </c>
      <c r="F51" s="149">
        <v>4.0</v>
      </c>
      <c r="G51" s="68">
        <v>5000.0</v>
      </c>
      <c r="H51" s="150">
        <f>'PAINEL DE CONTROLE'!$G$5</f>
        <v>28359</v>
      </c>
      <c r="I51" s="150">
        <v>24649.0</v>
      </c>
      <c r="J51" s="150">
        <f t="shared" si="3"/>
        <v>29649</v>
      </c>
      <c r="K51" s="151">
        <f t="shared" si="4"/>
        <v>1290</v>
      </c>
      <c r="L51" s="60"/>
      <c r="M51" s="31"/>
      <c r="N51" s="61"/>
      <c r="O51" s="60"/>
      <c r="P51" s="31"/>
      <c r="Q51" s="61"/>
      <c r="R51" s="60"/>
      <c r="S51" s="31"/>
      <c r="T51" s="61"/>
      <c r="U51" s="60"/>
      <c r="V51" s="31"/>
      <c r="W51" s="61"/>
      <c r="X51" s="60"/>
      <c r="Y51" s="31"/>
      <c r="Z51" s="61"/>
      <c r="AA51" s="60"/>
      <c r="AB51" s="31"/>
      <c r="AC51" s="61"/>
      <c r="AD51" s="60"/>
      <c r="AE51" s="31"/>
      <c r="AF51" s="61"/>
      <c r="AG51" s="60"/>
      <c r="AH51" s="31"/>
      <c r="AI51" s="61"/>
      <c r="AJ51" s="60"/>
      <c r="AK51" s="31"/>
      <c r="AL51" s="61"/>
      <c r="AM51" s="60"/>
      <c r="AN51" s="31"/>
      <c r="AO51" s="61"/>
      <c r="AP51" s="60"/>
      <c r="AQ51" s="31"/>
      <c r="AR51" s="61"/>
      <c r="AS51" s="60"/>
      <c r="AT51" s="31"/>
      <c r="AU51" s="61"/>
      <c r="AV51" s="60"/>
      <c r="AW51" s="31"/>
      <c r="AX51" s="61"/>
    </row>
    <row r="52" ht="39.75" customHeight="1">
      <c r="A52" s="62"/>
      <c r="B52" s="156"/>
      <c r="C52" s="105" t="str">
        <f>VLOOKUP(D52,[1]Saldo!A51:B31324,2,0)</f>
        <v>#ERROR!</v>
      </c>
      <c r="D52" s="68" t="s">
        <v>665</v>
      </c>
      <c r="E52" s="68" t="s">
        <v>112</v>
      </c>
      <c r="F52" s="149">
        <v>1.0</v>
      </c>
      <c r="G52" s="68">
        <v>5000.0</v>
      </c>
      <c r="H52" s="150">
        <f>'PAINEL DE CONTROLE'!$G$5</f>
        <v>28359</v>
      </c>
      <c r="I52" s="150">
        <v>24649.0</v>
      </c>
      <c r="J52" s="150">
        <f t="shared" si="3"/>
        <v>29649</v>
      </c>
      <c r="K52" s="151">
        <f t="shared" si="4"/>
        <v>1290</v>
      </c>
      <c r="L52" s="60"/>
      <c r="M52" s="31"/>
      <c r="N52" s="61"/>
      <c r="O52" s="60"/>
      <c r="P52" s="31"/>
      <c r="Q52" s="61"/>
      <c r="R52" s="60"/>
      <c r="S52" s="31"/>
      <c r="T52" s="61"/>
      <c r="U52" s="60"/>
      <c r="V52" s="31"/>
      <c r="W52" s="61"/>
      <c r="X52" s="60"/>
      <c r="Y52" s="31"/>
      <c r="Z52" s="61"/>
      <c r="AA52" s="60"/>
      <c r="AB52" s="31"/>
      <c r="AC52" s="61"/>
      <c r="AD52" s="60"/>
      <c r="AE52" s="31"/>
      <c r="AF52" s="61"/>
      <c r="AG52" s="60"/>
      <c r="AH52" s="31"/>
      <c r="AI52" s="61"/>
      <c r="AJ52" s="60"/>
      <c r="AK52" s="31"/>
      <c r="AL52" s="61"/>
      <c r="AM52" s="60"/>
      <c r="AN52" s="31"/>
      <c r="AO52" s="61"/>
      <c r="AP52" s="60"/>
      <c r="AQ52" s="31"/>
      <c r="AR52" s="61"/>
      <c r="AS52" s="60"/>
      <c r="AT52" s="31"/>
      <c r="AU52" s="61"/>
      <c r="AV52" s="60"/>
      <c r="AW52" s="31"/>
      <c r="AX52" s="61"/>
    </row>
    <row r="53" ht="39.75" customHeight="1">
      <c r="A53" s="63"/>
      <c r="B53" s="156"/>
      <c r="C53" s="105" t="str">
        <f>VLOOKUP(D53,[1]Saldo!A52:B31325,2,0)</f>
        <v>#ERROR!</v>
      </c>
      <c r="D53" s="68" t="s">
        <v>666</v>
      </c>
      <c r="E53" s="68" t="s">
        <v>667</v>
      </c>
      <c r="F53" s="149">
        <v>4.0</v>
      </c>
      <c r="G53" s="68">
        <v>5000.0</v>
      </c>
      <c r="H53" s="150">
        <f>'PAINEL DE CONTROLE'!$G$5</f>
        <v>28359</v>
      </c>
      <c r="I53" s="150">
        <v>24649.0</v>
      </c>
      <c r="J53" s="150">
        <f t="shared" si="3"/>
        <v>29649</v>
      </c>
      <c r="K53" s="151">
        <f t="shared" si="4"/>
        <v>1290</v>
      </c>
      <c r="L53" s="60"/>
      <c r="M53" s="31"/>
      <c r="N53" s="61"/>
      <c r="O53" s="60"/>
      <c r="P53" s="31"/>
      <c r="Q53" s="61"/>
      <c r="R53" s="60"/>
      <c r="S53" s="31"/>
      <c r="T53" s="61"/>
      <c r="U53" s="60"/>
      <c r="V53" s="31"/>
      <c r="W53" s="61"/>
      <c r="X53" s="60"/>
      <c r="Y53" s="31"/>
      <c r="Z53" s="61"/>
      <c r="AA53" s="60"/>
      <c r="AB53" s="31"/>
      <c r="AC53" s="61"/>
      <c r="AD53" s="60"/>
      <c r="AE53" s="31"/>
      <c r="AF53" s="61"/>
      <c r="AG53" s="60"/>
      <c r="AH53" s="31"/>
      <c r="AI53" s="61"/>
      <c r="AJ53" s="60"/>
      <c r="AK53" s="31"/>
      <c r="AL53" s="61"/>
      <c r="AM53" s="60"/>
      <c r="AN53" s="31"/>
      <c r="AO53" s="61"/>
      <c r="AP53" s="60"/>
      <c r="AQ53" s="31"/>
      <c r="AR53" s="61"/>
      <c r="AS53" s="60"/>
      <c r="AT53" s="31"/>
      <c r="AU53" s="61"/>
      <c r="AV53" s="60"/>
      <c r="AW53" s="31"/>
      <c r="AX53" s="61"/>
    </row>
    <row r="54" ht="39.75" customHeight="1">
      <c r="A54" s="147" t="s">
        <v>44</v>
      </c>
      <c r="B54" s="156"/>
      <c r="C54" s="105" t="str">
        <f>VLOOKUP(D54,[1]Saldo!A53:B31326,2,0)</f>
        <v>#ERROR!</v>
      </c>
      <c r="D54" s="68" t="s">
        <v>668</v>
      </c>
      <c r="E54" s="68" t="s">
        <v>669</v>
      </c>
      <c r="F54" s="149">
        <v>6.0</v>
      </c>
      <c r="G54" s="68">
        <v>5000.0</v>
      </c>
      <c r="H54" s="150">
        <f>'PAINEL DE CONTROLE'!$G$5</f>
        <v>28359</v>
      </c>
      <c r="I54" s="150">
        <v>24649.0</v>
      </c>
      <c r="J54" s="150">
        <f t="shared" si="3"/>
        <v>29649</v>
      </c>
      <c r="K54" s="151">
        <f t="shared" si="4"/>
        <v>1290</v>
      </c>
      <c r="L54" s="60"/>
      <c r="M54" s="31"/>
      <c r="N54" s="61"/>
      <c r="O54" s="60"/>
      <c r="P54" s="31"/>
      <c r="Q54" s="61"/>
      <c r="R54" s="60"/>
      <c r="S54" s="31"/>
      <c r="T54" s="61"/>
      <c r="U54" s="60"/>
      <c r="V54" s="31"/>
      <c r="W54" s="61"/>
      <c r="X54" s="60"/>
      <c r="Y54" s="31"/>
      <c r="Z54" s="61"/>
      <c r="AA54" s="60"/>
      <c r="AB54" s="31"/>
      <c r="AC54" s="61"/>
      <c r="AD54" s="60"/>
      <c r="AE54" s="31"/>
      <c r="AF54" s="61"/>
      <c r="AG54" s="60"/>
      <c r="AH54" s="31"/>
      <c r="AI54" s="61"/>
      <c r="AJ54" s="60"/>
      <c r="AK54" s="31"/>
      <c r="AL54" s="61"/>
      <c r="AM54" s="60"/>
      <c r="AN54" s="31"/>
      <c r="AO54" s="61"/>
      <c r="AP54" s="60"/>
      <c r="AQ54" s="31"/>
      <c r="AR54" s="61"/>
      <c r="AS54" s="60"/>
      <c r="AT54" s="31"/>
      <c r="AU54" s="61"/>
      <c r="AV54" s="60"/>
      <c r="AW54" s="31"/>
      <c r="AX54" s="61"/>
    </row>
    <row r="55" ht="39.75" customHeight="1">
      <c r="A55" s="62"/>
      <c r="B55" s="156"/>
      <c r="C55" s="105" t="str">
        <f>VLOOKUP(D55,[1]Saldo!A54:B31327,2,0)</f>
        <v>#ERROR!</v>
      </c>
      <c r="D55" s="68" t="s">
        <v>670</v>
      </c>
      <c r="E55" s="68" t="s">
        <v>634</v>
      </c>
      <c r="F55" s="149">
        <v>1.0</v>
      </c>
      <c r="G55" s="68">
        <v>5000.0</v>
      </c>
      <c r="H55" s="150">
        <f>'PAINEL DE CONTROLE'!$G$5</f>
        <v>28359</v>
      </c>
      <c r="I55" s="150">
        <v>24649.0</v>
      </c>
      <c r="J55" s="150">
        <f t="shared" si="3"/>
        <v>29649</v>
      </c>
      <c r="K55" s="151">
        <f t="shared" si="4"/>
        <v>1290</v>
      </c>
      <c r="L55" s="60"/>
      <c r="M55" s="31"/>
      <c r="N55" s="61"/>
      <c r="O55" s="60"/>
      <c r="P55" s="31"/>
      <c r="Q55" s="61"/>
      <c r="R55" s="60"/>
      <c r="S55" s="31"/>
      <c r="T55" s="61"/>
      <c r="U55" s="60"/>
      <c r="V55" s="31"/>
      <c r="W55" s="61"/>
      <c r="X55" s="60"/>
      <c r="Y55" s="31"/>
      <c r="Z55" s="61"/>
      <c r="AA55" s="60"/>
      <c r="AB55" s="31"/>
      <c r="AC55" s="61"/>
      <c r="AD55" s="60"/>
      <c r="AE55" s="31"/>
      <c r="AF55" s="61"/>
      <c r="AG55" s="60"/>
      <c r="AH55" s="31"/>
      <c r="AI55" s="61"/>
      <c r="AJ55" s="60"/>
      <c r="AK55" s="31"/>
      <c r="AL55" s="61"/>
      <c r="AM55" s="60"/>
      <c r="AN55" s="31"/>
      <c r="AO55" s="61"/>
      <c r="AP55" s="60"/>
      <c r="AQ55" s="31"/>
      <c r="AR55" s="61"/>
      <c r="AS55" s="60"/>
      <c r="AT55" s="31"/>
      <c r="AU55" s="61"/>
      <c r="AV55" s="60"/>
      <c r="AW55" s="31"/>
      <c r="AX55" s="61"/>
    </row>
    <row r="56" ht="39.75" customHeight="1">
      <c r="A56" s="62"/>
      <c r="B56" s="156"/>
      <c r="C56" s="105" t="str">
        <f>VLOOKUP(D56,[1]Saldo!A55:B31328,2,0)</f>
        <v>#ERROR!</v>
      </c>
      <c r="D56" s="68" t="s">
        <v>671</v>
      </c>
      <c r="E56" s="68" t="s">
        <v>672</v>
      </c>
      <c r="F56" s="149">
        <v>1.0</v>
      </c>
      <c r="G56" s="68">
        <v>10000.0</v>
      </c>
      <c r="H56" s="150">
        <f>'PAINEL DE CONTROLE'!$G$5</f>
        <v>28359</v>
      </c>
      <c r="I56" s="150">
        <v>24649.0</v>
      </c>
      <c r="J56" s="150">
        <f t="shared" si="3"/>
        <v>34649</v>
      </c>
      <c r="K56" s="151">
        <f t="shared" si="4"/>
        <v>6290</v>
      </c>
      <c r="L56" s="60"/>
      <c r="M56" s="31"/>
      <c r="N56" s="61"/>
      <c r="O56" s="60"/>
      <c r="P56" s="31"/>
      <c r="Q56" s="61"/>
      <c r="R56" s="60"/>
      <c r="S56" s="31"/>
      <c r="T56" s="61"/>
      <c r="U56" s="60"/>
      <c r="V56" s="31"/>
      <c r="W56" s="61"/>
      <c r="X56" s="60"/>
      <c r="Y56" s="31"/>
      <c r="Z56" s="61"/>
      <c r="AA56" s="60"/>
      <c r="AB56" s="31"/>
      <c r="AC56" s="61"/>
      <c r="AD56" s="60"/>
      <c r="AE56" s="31"/>
      <c r="AF56" s="61"/>
      <c r="AG56" s="60"/>
      <c r="AH56" s="31"/>
      <c r="AI56" s="61"/>
      <c r="AJ56" s="60"/>
      <c r="AK56" s="31"/>
      <c r="AL56" s="61"/>
      <c r="AM56" s="60"/>
      <c r="AN56" s="31"/>
      <c r="AO56" s="61"/>
      <c r="AP56" s="60"/>
      <c r="AQ56" s="31"/>
      <c r="AR56" s="61"/>
      <c r="AS56" s="60"/>
      <c r="AT56" s="31"/>
      <c r="AU56" s="61"/>
      <c r="AV56" s="60"/>
      <c r="AW56" s="31"/>
      <c r="AX56" s="61"/>
    </row>
    <row r="57" ht="39.75" customHeight="1">
      <c r="A57" s="62"/>
      <c r="B57" s="156"/>
      <c r="C57" s="105" t="str">
        <f>VLOOKUP(D57,[1]Saldo!A56:B31329,2,0)</f>
        <v>#ERROR!</v>
      </c>
      <c r="D57" s="68" t="s">
        <v>673</v>
      </c>
      <c r="E57" s="68" t="s">
        <v>674</v>
      </c>
      <c r="F57" s="149">
        <v>1.0</v>
      </c>
      <c r="G57" s="68">
        <v>10000.0</v>
      </c>
      <c r="H57" s="150">
        <f>'PAINEL DE CONTROLE'!$G$5</f>
        <v>28359</v>
      </c>
      <c r="I57" s="150">
        <v>24649.0</v>
      </c>
      <c r="J57" s="150">
        <f t="shared" si="3"/>
        <v>34649</v>
      </c>
      <c r="K57" s="151">
        <f t="shared" si="4"/>
        <v>6290</v>
      </c>
      <c r="L57" s="60"/>
      <c r="M57" s="31"/>
      <c r="N57" s="61"/>
      <c r="O57" s="60"/>
      <c r="P57" s="31"/>
      <c r="Q57" s="61"/>
      <c r="R57" s="60"/>
      <c r="S57" s="31"/>
      <c r="T57" s="61"/>
      <c r="U57" s="60"/>
      <c r="V57" s="31"/>
      <c r="W57" s="61"/>
      <c r="X57" s="60"/>
      <c r="Y57" s="31"/>
      <c r="Z57" s="61"/>
      <c r="AA57" s="60"/>
      <c r="AB57" s="31"/>
      <c r="AC57" s="61"/>
      <c r="AD57" s="60"/>
      <c r="AE57" s="31"/>
      <c r="AF57" s="61"/>
      <c r="AG57" s="60"/>
      <c r="AH57" s="31"/>
      <c r="AI57" s="61"/>
      <c r="AJ57" s="60"/>
      <c r="AK57" s="31"/>
      <c r="AL57" s="61"/>
      <c r="AM57" s="60"/>
      <c r="AN57" s="31"/>
      <c r="AO57" s="61"/>
      <c r="AP57" s="60"/>
      <c r="AQ57" s="31"/>
      <c r="AR57" s="61"/>
      <c r="AS57" s="60"/>
      <c r="AT57" s="31"/>
      <c r="AU57" s="61"/>
      <c r="AV57" s="60"/>
      <c r="AW57" s="31"/>
      <c r="AX57" s="61"/>
    </row>
    <row r="58" ht="39.75" customHeight="1">
      <c r="A58" s="63"/>
      <c r="B58" s="156"/>
      <c r="C58" s="105" t="str">
        <f>VLOOKUP(D58,[1]Saldo!A57:B31330,2,0)</f>
        <v>#ERROR!</v>
      </c>
      <c r="D58" s="68" t="s">
        <v>675</v>
      </c>
      <c r="E58" s="68" t="s">
        <v>676</v>
      </c>
      <c r="F58" s="149">
        <v>1.0</v>
      </c>
      <c r="G58" s="68">
        <v>12000.0</v>
      </c>
      <c r="H58" s="150">
        <f>'PAINEL DE CONTROLE'!$G$5</f>
        <v>28359</v>
      </c>
      <c r="I58" s="150">
        <v>24649.0</v>
      </c>
      <c r="J58" s="150">
        <f t="shared" si="3"/>
        <v>36649</v>
      </c>
      <c r="K58" s="151">
        <f t="shared" si="4"/>
        <v>8290</v>
      </c>
      <c r="L58" s="60"/>
      <c r="M58" s="31"/>
      <c r="N58" s="61"/>
      <c r="O58" s="60"/>
      <c r="P58" s="31"/>
      <c r="Q58" s="61"/>
      <c r="R58" s="60"/>
      <c r="S58" s="31"/>
      <c r="T58" s="61"/>
      <c r="U58" s="60"/>
      <c r="V58" s="31"/>
      <c r="W58" s="61"/>
      <c r="X58" s="60"/>
      <c r="Y58" s="31"/>
      <c r="Z58" s="61"/>
      <c r="AA58" s="60"/>
      <c r="AB58" s="31"/>
      <c r="AC58" s="61"/>
      <c r="AD58" s="60"/>
      <c r="AE58" s="31"/>
      <c r="AF58" s="61"/>
      <c r="AG58" s="60"/>
      <c r="AH58" s="31"/>
      <c r="AI58" s="61"/>
      <c r="AJ58" s="60"/>
      <c r="AK58" s="31"/>
      <c r="AL58" s="61"/>
      <c r="AM58" s="60"/>
      <c r="AN58" s="31"/>
      <c r="AO58" s="61"/>
      <c r="AP58" s="60"/>
      <c r="AQ58" s="31"/>
      <c r="AR58" s="61"/>
      <c r="AS58" s="60"/>
      <c r="AT58" s="31"/>
      <c r="AU58" s="61"/>
      <c r="AV58" s="60"/>
      <c r="AW58" s="31"/>
      <c r="AX58" s="61"/>
    </row>
    <row r="59" ht="39.75" customHeight="1">
      <c r="A59" s="158" t="s">
        <v>677</v>
      </c>
      <c r="B59" s="68">
        <v>41.0</v>
      </c>
      <c r="C59" s="105" t="s">
        <v>678</v>
      </c>
      <c r="D59" s="68" t="s">
        <v>679</v>
      </c>
      <c r="E59" s="68" t="s">
        <v>680</v>
      </c>
      <c r="F59" s="149">
        <v>48.0</v>
      </c>
      <c r="G59" s="68">
        <v>1000.0</v>
      </c>
      <c r="H59" s="150">
        <f>'PAINEL DE CONTROLE'!$G$5</f>
        <v>28359</v>
      </c>
      <c r="I59" s="150">
        <v>24649.0</v>
      </c>
      <c r="J59" s="150">
        <f t="shared" si="3"/>
        <v>25649</v>
      </c>
      <c r="K59" s="151">
        <f t="shared" si="4"/>
        <v>-2710</v>
      </c>
      <c r="L59" s="60"/>
      <c r="M59" s="31"/>
      <c r="N59" s="61"/>
      <c r="O59" s="60"/>
      <c r="P59" s="31"/>
      <c r="Q59" s="61"/>
      <c r="R59" s="60"/>
      <c r="S59" s="31"/>
      <c r="T59" s="61"/>
      <c r="U59" s="60"/>
      <c r="V59" s="31"/>
      <c r="W59" s="61"/>
      <c r="X59" s="60"/>
      <c r="Y59" s="31"/>
      <c r="Z59" s="61"/>
      <c r="AA59" s="60"/>
      <c r="AB59" s="31"/>
      <c r="AC59" s="61"/>
      <c r="AD59" s="60"/>
      <c r="AE59" s="31"/>
      <c r="AF59" s="61"/>
      <c r="AG59" s="60"/>
      <c r="AH59" s="31"/>
      <c r="AI59" s="61"/>
      <c r="AJ59" s="60"/>
      <c r="AK59" s="31"/>
      <c r="AL59" s="61"/>
      <c r="AM59" s="60"/>
      <c r="AN59" s="31"/>
      <c r="AO59" s="61"/>
      <c r="AP59" s="60"/>
      <c r="AQ59" s="31"/>
      <c r="AR59" s="61"/>
      <c r="AS59" s="60"/>
      <c r="AT59" s="31"/>
      <c r="AU59" s="61"/>
      <c r="AV59" s="60"/>
      <c r="AW59" s="31"/>
      <c r="AX59" s="61"/>
    </row>
    <row r="60" ht="39.75" customHeight="1">
      <c r="A60" s="62"/>
      <c r="B60" s="68">
        <v>41.0</v>
      </c>
      <c r="C60" s="105" t="s">
        <v>681</v>
      </c>
      <c r="D60" s="68" t="s">
        <v>682</v>
      </c>
      <c r="E60" s="68" t="s">
        <v>683</v>
      </c>
      <c r="F60" s="149">
        <v>48.0</v>
      </c>
      <c r="G60" s="68">
        <v>1000.0</v>
      </c>
      <c r="H60" s="150">
        <f>'PAINEL DE CONTROLE'!$G$5</f>
        <v>28359</v>
      </c>
      <c r="I60" s="150">
        <v>24649.0</v>
      </c>
      <c r="J60" s="150">
        <f t="shared" si="3"/>
        <v>25649</v>
      </c>
      <c r="K60" s="151">
        <f t="shared" si="4"/>
        <v>-2710</v>
      </c>
      <c r="L60" s="60"/>
      <c r="M60" s="31"/>
      <c r="N60" s="61"/>
      <c r="O60" s="60"/>
      <c r="P60" s="31"/>
      <c r="Q60" s="61"/>
      <c r="R60" s="60"/>
      <c r="S60" s="31"/>
      <c r="T60" s="61"/>
      <c r="U60" s="60"/>
      <c r="V60" s="31"/>
      <c r="W60" s="61"/>
      <c r="X60" s="60"/>
      <c r="Y60" s="31"/>
      <c r="Z60" s="61"/>
      <c r="AA60" s="60"/>
      <c r="AB60" s="31"/>
      <c r="AC60" s="61"/>
      <c r="AD60" s="60"/>
      <c r="AE60" s="31"/>
      <c r="AF60" s="61"/>
      <c r="AG60" s="60"/>
      <c r="AH60" s="31"/>
      <c r="AI60" s="61"/>
      <c r="AJ60" s="60"/>
      <c r="AK60" s="31"/>
      <c r="AL60" s="61"/>
      <c r="AM60" s="60"/>
      <c r="AN60" s="31"/>
      <c r="AO60" s="61"/>
      <c r="AP60" s="60"/>
      <c r="AQ60" s="31"/>
      <c r="AR60" s="61"/>
      <c r="AS60" s="60"/>
      <c r="AT60" s="31"/>
      <c r="AU60" s="61"/>
      <c r="AV60" s="60"/>
      <c r="AW60" s="31"/>
      <c r="AX60" s="61"/>
    </row>
    <row r="61" ht="39.75" customHeight="1">
      <c r="A61" s="62"/>
      <c r="B61" s="68">
        <v>41.0</v>
      </c>
      <c r="C61" s="105" t="s">
        <v>684</v>
      </c>
      <c r="D61" s="68" t="s">
        <v>685</v>
      </c>
      <c r="E61" s="68" t="s">
        <v>686</v>
      </c>
      <c r="F61" s="149">
        <v>1.0</v>
      </c>
      <c r="G61" s="68">
        <v>1000.0</v>
      </c>
      <c r="H61" s="150">
        <f>'PAINEL DE CONTROLE'!$G$5</f>
        <v>28359</v>
      </c>
      <c r="I61" s="150">
        <v>24649.0</v>
      </c>
      <c r="J61" s="150">
        <f t="shared" si="3"/>
        <v>25649</v>
      </c>
      <c r="K61" s="151">
        <f t="shared" si="4"/>
        <v>-2710</v>
      </c>
      <c r="L61" s="60"/>
      <c r="M61" s="31"/>
      <c r="N61" s="61"/>
      <c r="O61" s="60"/>
      <c r="P61" s="31"/>
      <c r="Q61" s="61"/>
      <c r="R61" s="60"/>
      <c r="S61" s="31"/>
      <c r="T61" s="61"/>
      <c r="U61" s="60"/>
      <c r="V61" s="31"/>
      <c r="W61" s="61"/>
      <c r="X61" s="60"/>
      <c r="Y61" s="31"/>
      <c r="Z61" s="61"/>
      <c r="AA61" s="60"/>
      <c r="AB61" s="31"/>
      <c r="AC61" s="61"/>
      <c r="AD61" s="60"/>
      <c r="AE61" s="31"/>
      <c r="AF61" s="61"/>
      <c r="AG61" s="60"/>
      <c r="AH61" s="31"/>
      <c r="AI61" s="61"/>
      <c r="AJ61" s="60"/>
      <c r="AK61" s="31"/>
      <c r="AL61" s="61"/>
      <c r="AM61" s="60"/>
      <c r="AN61" s="31"/>
      <c r="AO61" s="61"/>
      <c r="AP61" s="60"/>
      <c r="AQ61" s="31"/>
      <c r="AR61" s="61"/>
      <c r="AS61" s="60"/>
      <c r="AT61" s="31"/>
      <c r="AU61" s="61"/>
      <c r="AV61" s="60"/>
      <c r="AW61" s="31"/>
      <c r="AX61" s="61"/>
    </row>
    <row r="62" ht="39.75" customHeight="1">
      <c r="A62" s="63"/>
      <c r="B62" s="68">
        <v>41.0</v>
      </c>
      <c r="C62" s="105" t="s">
        <v>687</v>
      </c>
      <c r="D62" s="68" t="s">
        <v>688</v>
      </c>
      <c r="E62" s="68" t="s">
        <v>689</v>
      </c>
      <c r="F62" s="149">
        <v>1.0</v>
      </c>
      <c r="G62" s="68">
        <v>1000.0</v>
      </c>
      <c r="H62" s="150">
        <f>'PAINEL DE CONTROLE'!$G$5</f>
        <v>28359</v>
      </c>
      <c r="I62" s="150">
        <v>24649.0</v>
      </c>
      <c r="J62" s="150">
        <f t="shared" si="3"/>
        <v>25649</v>
      </c>
      <c r="K62" s="151">
        <f t="shared" si="4"/>
        <v>-2710</v>
      </c>
      <c r="L62" s="60"/>
      <c r="M62" s="31"/>
      <c r="N62" s="61"/>
      <c r="O62" s="60"/>
      <c r="P62" s="31"/>
      <c r="Q62" s="61"/>
      <c r="R62" s="60"/>
      <c r="S62" s="31"/>
      <c r="T62" s="61"/>
      <c r="U62" s="60"/>
      <c r="V62" s="31"/>
      <c r="W62" s="61"/>
      <c r="X62" s="60"/>
      <c r="Y62" s="31"/>
      <c r="Z62" s="61"/>
      <c r="AA62" s="60"/>
      <c r="AB62" s="31"/>
      <c r="AC62" s="61"/>
      <c r="AD62" s="60"/>
      <c r="AE62" s="31"/>
      <c r="AF62" s="61"/>
      <c r="AG62" s="60"/>
      <c r="AH62" s="31"/>
      <c r="AI62" s="61"/>
      <c r="AJ62" s="60"/>
      <c r="AK62" s="31"/>
      <c r="AL62" s="61"/>
      <c r="AM62" s="60"/>
      <c r="AN62" s="31"/>
      <c r="AO62" s="61"/>
      <c r="AP62" s="60"/>
      <c r="AQ62" s="31"/>
      <c r="AR62" s="61"/>
      <c r="AS62" s="60"/>
      <c r="AT62" s="31"/>
      <c r="AU62" s="61"/>
      <c r="AV62" s="60"/>
      <c r="AW62" s="31"/>
      <c r="AX62" s="61"/>
    </row>
    <row r="63" ht="39.75" customHeight="1">
      <c r="A63" s="147" t="s">
        <v>690</v>
      </c>
      <c r="B63" s="156">
        <v>41.0</v>
      </c>
      <c r="C63" s="105" t="s">
        <v>691</v>
      </c>
      <c r="D63" s="68" t="s">
        <v>692</v>
      </c>
      <c r="E63" s="68" t="s">
        <v>693</v>
      </c>
      <c r="F63" s="149">
        <v>2.0</v>
      </c>
      <c r="G63" s="68">
        <v>1000.0</v>
      </c>
      <c r="H63" s="150">
        <f>'PAINEL DE CONTROLE'!$G$5</f>
        <v>28359</v>
      </c>
      <c r="I63" s="150">
        <v>24649.0</v>
      </c>
      <c r="J63" s="150">
        <f t="shared" si="3"/>
        <v>25649</v>
      </c>
      <c r="K63" s="151">
        <f t="shared" si="4"/>
        <v>-2710</v>
      </c>
      <c r="L63" s="60"/>
      <c r="M63" s="31"/>
      <c r="N63" s="61"/>
      <c r="O63" s="60"/>
      <c r="P63" s="31"/>
      <c r="Q63" s="61"/>
      <c r="R63" s="60"/>
      <c r="S63" s="31"/>
      <c r="T63" s="61"/>
      <c r="U63" s="60"/>
      <c r="V63" s="31"/>
      <c r="W63" s="61"/>
      <c r="X63" s="60"/>
      <c r="Y63" s="31"/>
      <c r="Z63" s="61"/>
      <c r="AA63" s="60"/>
      <c r="AB63" s="31"/>
      <c r="AC63" s="61"/>
      <c r="AD63" s="60"/>
      <c r="AE63" s="31"/>
      <c r="AF63" s="61"/>
      <c r="AG63" s="60"/>
      <c r="AH63" s="31"/>
      <c r="AI63" s="61"/>
      <c r="AJ63" s="60"/>
      <c r="AK63" s="31"/>
      <c r="AL63" s="61"/>
      <c r="AM63" s="60"/>
      <c r="AN63" s="31"/>
      <c r="AO63" s="61"/>
      <c r="AP63" s="60"/>
      <c r="AQ63" s="31"/>
      <c r="AR63" s="61"/>
      <c r="AS63" s="60"/>
      <c r="AT63" s="31"/>
      <c r="AU63" s="61"/>
      <c r="AV63" s="60"/>
      <c r="AW63" s="31"/>
      <c r="AX63" s="61"/>
    </row>
    <row r="64" ht="39.75" customHeight="1">
      <c r="A64" s="62"/>
      <c r="B64" s="156"/>
      <c r="C64" s="105" t="s">
        <v>694</v>
      </c>
      <c r="D64" s="68" t="s">
        <v>695</v>
      </c>
      <c r="E64" s="68" t="s">
        <v>696</v>
      </c>
      <c r="F64" s="149">
        <v>2.0</v>
      </c>
      <c r="G64" s="68">
        <v>2000.0</v>
      </c>
      <c r="H64" s="150">
        <f>'PAINEL DE CONTROLE'!$G$5</f>
        <v>28359</v>
      </c>
      <c r="I64" s="150">
        <v>24649.0</v>
      </c>
      <c r="J64" s="150">
        <f t="shared" si="3"/>
        <v>26649</v>
      </c>
      <c r="K64" s="151">
        <f t="shared" si="4"/>
        <v>-1710</v>
      </c>
      <c r="L64" s="60"/>
      <c r="M64" s="31"/>
      <c r="N64" s="61"/>
      <c r="O64" s="60"/>
      <c r="P64" s="31"/>
      <c r="Q64" s="61"/>
      <c r="R64" s="60"/>
      <c r="S64" s="31"/>
      <c r="T64" s="61"/>
      <c r="U64" s="60"/>
      <c r="V64" s="31"/>
      <c r="W64" s="61"/>
      <c r="X64" s="60"/>
      <c r="Y64" s="31"/>
      <c r="Z64" s="61"/>
      <c r="AA64" s="60"/>
      <c r="AB64" s="31"/>
      <c r="AC64" s="61"/>
      <c r="AD64" s="60"/>
      <c r="AE64" s="31"/>
      <c r="AF64" s="61"/>
      <c r="AG64" s="60"/>
      <c r="AH64" s="31"/>
      <c r="AI64" s="61"/>
      <c r="AJ64" s="60"/>
      <c r="AK64" s="31"/>
      <c r="AL64" s="61"/>
      <c r="AM64" s="60"/>
      <c r="AN64" s="31"/>
      <c r="AO64" s="61"/>
      <c r="AP64" s="60"/>
      <c r="AQ64" s="31"/>
      <c r="AR64" s="61"/>
      <c r="AS64" s="60"/>
      <c r="AT64" s="31"/>
      <c r="AU64" s="61"/>
      <c r="AV64" s="60"/>
      <c r="AW64" s="31"/>
      <c r="AX64" s="61"/>
    </row>
    <row r="65" ht="39.75" customHeight="1">
      <c r="A65" s="63"/>
      <c r="B65" s="156">
        <v>41.0</v>
      </c>
      <c r="C65" s="105" t="s">
        <v>697</v>
      </c>
      <c r="D65" s="68" t="s">
        <v>698</v>
      </c>
      <c r="E65" s="68" t="s">
        <v>699</v>
      </c>
      <c r="F65" s="149">
        <v>8.0</v>
      </c>
      <c r="G65" s="68">
        <v>1000.0</v>
      </c>
      <c r="H65" s="150">
        <f>'PAINEL DE CONTROLE'!$G$5</f>
        <v>28359</v>
      </c>
      <c r="I65" s="150">
        <v>24649.0</v>
      </c>
      <c r="J65" s="150">
        <f t="shared" si="3"/>
        <v>25649</v>
      </c>
      <c r="K65" s="151">
        <f t="shared" si="4"/>
        <v>-2710</v>
      </c>
      <c r="L65" s="60"/>
      <c r="M65" s="31"/>
      <c r="N65" s="61"/>
      <c r="O65" s="60"/>
      <c r="P65" s="31"/>
      <c r="Q65" s="61"/>
      <c r="R65" s="60"/>
      <c r="S65" s="31"/>
      <c r="T65" s="61"/>
      <c r="U65" s="60"/>
      <c r="V65" s="31"/>
      <c r="W65" s="61"/>
      <c r="X65" s="60"/>
      <c r="Y65" s="31"/>
      <c r="Z65" s="61"/>
      <c r="AA65" s="60"/>
      <c r="AB65" s="31"/>
      <c r="AC65" s="61"/>
      <c r="AD65" s="60"/>
      <c r="AE65" s="31"/>
      <c r="AF65" s="61"/>
      <c r="AG65" s="60"/>
      <c r="AH65" s="31"/>
      <c r="AI65" s="61"/>
      <c r="AJ65" s="60"/>
      <c r="AK65" s="31"/>
      <c r="AL65" s="61"/>
      <c r="AM65" s="60"/>
      <c r="AN65" s="31"/>
      <c r="AO65" s="61"/>
      <c r="AP65" s="60"/>
      <c r="AQ65" s="31"/>
      <c r="AR65" s="61"/>
      <c r="AS65" s="60"/>
      <c r="AT65" s="31"/>
      <c r="AU65" s="61"/>
      <c r="AV65" s="60"/>
      <c r="AW65" s="31"/>
      <c r="AX65" s="61"/>
    </row>
    <row r="66" ht="39.75" customHeight="1">
      <c r="A66" s="147" t="s">
        <v>47</v>
      </c>
      <c r="B66" s="156"/>
      <c r="C66" s="105" t="str">
        <f>VLOOKUP(D66,[1]Saldo!A65:B31338,2,0)</f>
        <v>#ERROR!</v>
      </c>
      <c r="D66" s="68" t="s">
        <v>700</v>
      </c>
      <c r="E66" s="68" t="s">
        <v>680</v>
      </c>
      <c r="F66" s="149">
        <v>2.0</v>
      </c>
      <c r="G66" s="68">
        <v>2000.0</v>
      </c>
      <c r="H66" s="150">
        <f>'PAINEL DE CONTROLE'!$G$5</f>
        <v>28359</v>
      </c>
      <c r="I66" s="150">
        <v>24649.0</v>
      </c>
      <c r="J66" s="150">
        <f t="shared" si="3"/>
        <v>26649</v>
      </c>
      <c r="K66" s="151">
        <f t="shared" si="4"/>
        <v>-1710</v>
      </c>
      <c r="L66" s="60"/>
      <c r="M66" s="31"/>
      <c r="N66" s="61"/>
      <c r="O66" s="60"/>
      <c r="P66" s="31"/>
      <c r="Q66" s="61"/>
      <c r="R66" s="60"/>
      <c r="S66" s="31"/>
      <c r="T66" s="61"/>
      <c r="U66" s="60"/>
      <c r="V66" s="31"/>
      <c r="W66" s="61"/>
      <c r="X66" s="60"/>
      <c r="Y66" s="31"/>
      <c r="Z66" s="61"/>
      <c r="AA66" s="60"/>
      <c r="AB66" s="31"/>
      <c r="AC66" s="61"/>
      <c r="AD66" s="60"/>
      <c r="AE66" s="31"/>
      <c r="AF66" s="61"/>
      <c r="AG66" s="60"/>
      <c r="AH66" s="31"/>
      <c r="AI66" s="61"/>
      <c r="AJ66" s="60"/>
      <c r="AK66" s="31"/>
      <c r="AL66" s="61"/>
      <c r="AM66" s="60"/>
      <c r="AN66" s="31"/>
      <c r="AO66" s="61"/>
      <c r="AP66" s="60"/>
      <c r="AQ66" s="31"/>
      <c r="AR66" s="61"/>
      <c r="AS66" s="60"/>
      <c r="AT66" s="31"/>
      <c r="AU66" s="61"/>
      <c r="AV66" s="60"/>
      <c r="AW66" s="31"/>
      <c r="AX66" s="61"/>
    </row>
    <row r="67" ht="39.75" customHeight="1">
      <c r="A67" s="63"/>
      <c r="B67" s="156"/>
      <c r="C67" s="105" t="str">
        <f>VLOOKUP(D67,[1]Saldo!A66:B31339,2,0)</f>
        <v>#ERROR!</v>
      </c>
      <c r="D67" s="68" t="s">
        <v>701</v>
      </c>
      <c r="E67" s="68" t="s">
        <v>702</v>
      </c>
      <c r="F67" s="149">
        <v>1.0</v>
      </c>
      <c r="G67" s="68">
        <v>2000.0</v>
      </c>
      <c r="H67" s="150">
        <f>'PAINEL DE CONTROLE'!$G$5</f>
        <v>28359</v>
      </c>
      <c r="I67" s="150">
        <v>24649.0</v>
      </c>
      <c r="J67" s="150">
        <f t="shared" si="3"/>
        <v>26649</v>
      </c>
      <c r="K67" s="151">
        <f t="shared" si="4"/>
        <v>-1710</v>
      </c>
      <c r="L67" s="60"/>
      <c r="M67" s="31"/>
      <c r="N67" s="61"/>
      <c r="O67" s="60"/>
      <c r="P67" s="31"/>
      <c r="Q67" s="61"/>
      <c r="R67" s="60"/>
      <c r="S67" s="31"/>
      <c r="T67" s="61"/>
      <c r="U67" s="60"/>
      <c r="V67" s="31"/>
      <c r="W67" s="61"/>
      <c r="X67" s="60"/>
      <c r="Y67" s="31"/>
      <c r="Z67" s="61"/>
      <c r="AA67" s="60"/>
      <c r="AB67" s="31"/>
      <c r="AC67" s="61"/>
      <c r="AD67" s="60"/>
      <c r="AE67" s="31"/>
      <c r="AF67" s="61"/>
      <c r="AG67" s="60"/>
      <c r="AH67" s="31"/>
      <c r="AI67" s="61"/>
      <c r="AJ67" s="60"/>
      <c r="AK67" s="31"/>
      <c r="AL67" s="61"/>
      <c r="AM67" s="60"/>
      <c r="AN67" s="31"/>
      <c r="AO67" s="61"/>
      <c r="AP67" s="60"/>
      <c r="AQ67" s="31"/>
      <c r="AR67" s="61"/>
      <c r="AS67" s="60"/>
      <c r="AT67" s="31"/>
      <c r="AU67" s="61"/>
      <c r="AV67" s="60"/>
      <c r="AW67" s="31"/>
      <c r="AX67" s="61"/>
    </row>
    <row r="68" ht="39.75" customHeight="1">
      <c r="A68" s="147" t="s">
        <v>48</v>
      </c>
      <c r="B68" s="156"/>
      <c r="C68" s="105" t="str">
        <f>VLOOKUP(D68,[1]Saldo!A67:B31340,2,0)</f>
        <v>#ERROR!</v>
      </c>
      <c r="D68" s="68" t="s">
        <v>703</v>
      </c>
      <c r="E68" s="68" t="s">
        <v>704</v>
      </c>
      <c r="F68" s="149">
        <v>4.0</v>
      </c>
      <c r="G68" s="68">
        <v>2000.0</v>
      </c>
      <c r="H68" s="150">
        <f>'PAINEL DE CONTROLE'!$G$5</f>
        <v>28359</v>
      </c>
      <c r="I68" s="150">
        <v>24649.0</v>
      </c>
      <c r="J68" s="150">
        <f t="shared" si="3"/>
        <v>26649</v>
      </c>
      <c r="K68" s="151">
        <f t="shared" si="4"/>
        <v>-1710</v>
      </c>
      <c r="L68" s="60"/>
      <c r="M68" s="31"/>
      <c r="N68" s="61"/>
      <c r="O68" s="60"/>
      <c r="P68" s="31"/>
      <c r="Q68" s="61"/>
      <c r="R68" s="60"/>
      <c r="S68" s="31"/>
      <c r="T68" s="61"/>
      <c r="U68" s="60"/>
      <c r="V68" s="31"/>
      <c r="W68" s="61"/>
      <c r="X68" s="60"/>
      <c r="Y68" s="31"/>
      <c r="Z68" s="61"/>
      <c r="AA68" s="60"/>
      <c r="AB68" s="31"/>
      <c r="AC68" s="61"/>
      <c r="AD68" s="60"/>
      <c r="AE68" s="31"/>
      <c r="AF68" s="61"/>
      <c r="AG68" s="60"/>
      <c r="AH68" s="31"/>
      <c r="AI68" s="61"/>
      <c r="AJ68" s="60"/>
      <c r="AK68" s="31"/>
      <c r="AL68" s="61"/>
      <c r="AM68" s="60"/>
      <c r="AN68" s="31"/>
      <c r="AO68" s="61"/>
      <c r="AP68" s="60"/>
      <c r="AQ68" s="31"/>
      <c r="AR68" s="61"/>
      <c r="AS68" s="60"/>
      <c r="AT68" s="31"/>
      <c r="AU68" s="61"/>
      <c r="AV68" s="60"/>
      <c r="AW68" s="31"/>
      <c r="AX68" s="61"/>
    </row>
    <row r="69" ht="39.75" customHeight="1">
      <c r="A69" s="62"/>
      <c r="B69" s="156"/>
      <c r="C69" s="105" t="str">
        <f>VLOOKUP(D69,[1]Saldo!A68:B31341,2,0)</f>
        <v>#ERROR!</v>
      </c>
      <c r="D69" s="68" t="s">
        <v>705</v>
      </c>
      <c r="E69" s="68" t="s">
        <v>704</v>
      </c>
      <c r="F69" s="149">
        <v>4.0</v>
      </c>
      <c r="G69" s="68">
        <v>2000.0</v>
      </c>
      <c r="H69" s="150">
        <f>'PAINEL DE CONTROLE'!$G$5</f>
        <v>28359</v>
      </c>
      <c r="I69" s="150">
        <v>24649.0</v>
      </c>
      <c r="J69" s="150">
        <f t="shared" si="3"/>
        <v>26649</v>
      </c>
      <c r="K69" s="151">
        <f t="shared" si="4"/>
        <v>-1710</v>
      </c>
      <c r="L69" s="60"/>
      <c r="M69" s="31"/>
      <c r="N69" s="61"/>
      <c r="O69" s="60"/>
      <c r="P69" s="31"/>
      <c r="Q69" s="61"/>
      <c r="R69" s="60"/>
      <c r="S69" s="31"/>
      <c r="T69" s="61"/>
      <c r="U69" s="60"/>
      <c r="V69" s="31"/>
      <c r="W69" s="61"/>
      <c r="X69" s="60"/>
      <c r="Y69" s="31"/>
      <c r="Z69" s="61"/>
      <c r="AA69" s="60"/>
      <c r="AB69" s="31"/>
      <c r="AC69" s="61"/>
      <c r="AD69" s="60"/>
      <c r="AE69" s="31"/>
      <c r="AF69" s="61"/>
      <c r="AG69" s="60"/>
      <c r="AH69" s="31"/>
      <c r="AI69" s="61"/>
      <c r="AJ69" s="60"/>
      <c r="AK69" s="31"/>
      <c r="AL69" s="61"/>
      <c r="AM69" s="60"/>
      <c r="AN69" s="31"/>
      <c r="AO69" s="61"/>
      <c r="AP69" s="60"/>
      <c r="AQ69" s="31"/>
      <c r="AR69" s="61"/>
      <c r="AS69" s="60"/>
      <c r="AT69" s="31"/>
      <c r="AU69" s="61"/>
      <c r="AV69" s="60"/>
      <c r="AW69" s="31"/>
      <c r="AX69" s="61"/>
    </row>
    <row r="70" ht="39.75" customHeight="1">
      <c r="A70" s="62"/>
      <c r="B70" s="156"/>
      <c r="C70" s="105" t="str">
        <f>VLOOKUP(D70,[1]Saldo!A69:B31342,2,0)</f>
        <v>#ERROR!</v>
      </c>
      <c r="D70" s="68" t="s">
        <v>706</v>
      </c>
      <c r="E70" s="68" t="s">
        <v>704</v>
      </c>
      <c r="F70" s="149">
        <v>4.0</v>
      </c>
      <c r="G70" s="68">
        <v>2000.0</v>
      </c>
      <c r="H70" s="150">
        <f>'PAINEL DE CONTROLE'!$G$5</f>
        <v>28359</v>
      </c>
      <c r="I70" s="150">
        <v>24649.0</v>
      </c>
      <c r="J70" s="150">
        <f t="shared" si="3"/>
        <v>26649</v>
      </c>
      <c r="K70" s="151">
        <f t="shared" si="4"/>
        <v>-1710</v>
      </c>
      <c r="L70" s="60"/>
      <c r="M70" s="31"/>
      <c r="N70" s="61"/>
      <c r="O70" s="60"/>
      <c r="P70" s="31"/>
      <c r="Q70" s="61"/>
      <c r="R70" s="60"/>
      <c r="S70" s="31"/>
      <c r="T70" s="61"/>
      <c r="U70" s="60"/>
      <c r="V70" s="31"/>
      <c r="W70" s="61"/>
      <c r="X70" s="60"/>
      <c r="Y70" s="31"/>
      <c r="Z70" s="61"/>
      <c r="AA70" s="60"/>
      <c r="AB70" s="31"/>
      <c r="AC70" s="61"/>
      <c r="AD70" s="60"/>
      <c r="AE70" s="31"/>
      <c r="AF70" s="61"/>
      <c r="AG70" s="60"/>
      <c r="AH70" s="31"/>
      <c r="AI70" s="61"/>
      <c r="AJ70" s="60"/>
      <c r="AK70" s="31"/>
      <c r="AL70" s="61"/>
      <c r="AM70" s="60"/>
      <c r="AN70" s="31"/>
      <c r="AO70" s="61"/>
      <c r="AP70" s="60"/>
      <c r="AQ70" s="31"/>
      <c r="AR70" s="61"/>
      <c r="AS70" s="60"/>
      <c r="AT70" s="31"/>
      <c r="AU70" s="61"/>
      <c r="AV70" s="60"/>
      <c r="AW70" s="31"/>
      <c r="AX70" s="61"/>
    </row>
    <row r="71" ht="39.75" customHeight="1">
      <c r="A71" s="62"/>
      <c r="B71" s="156"/>
      <c r="C71" s="105" t="str">
        <f>VLOOKUP(D71,[1]Saldo!A70:B31343,2,0)</f>
        <v>#ERROR!</v>
      </c>
      <c r="D71" s="68" t="s">
        <v>707</v>
      </c>
      <c r="E71" s="68" t="s">
        <v>704</v>
      </c>
      <c r="F71" s="149">
        <v>4.0</v>
      </c>
      <c r="G71" s="68">
        <v>2000.0</v>
      </c>
      <c r="H71" s="150">
        <f>'PAINEL DE CONTROLE'!$G$5</f>
        <v>28359</v>
      </c>
      <c r="I71" s="150">
        <v>24649.0</v>
      </c>
      <c r="J71" s="150">
        <f t="shared" si="3"/>
        <v>26649</v>
      </c>
      <c r="K71" s="151">
        <f t="shared" si="4"/>
        <v>-1710</v>
      </c>
      <c r="L71" s="60"/>
      <c r="M71" s="31"/>
      <c r="N71" s="61"/>
      <c r="O71" s="60"/>
      <c r="P71" s="31"/>
      <c r="Q71" s="61"/>
      <c r="R71" s="60"/>
      <c r="S71" s="31"/>
      <c r="T71" s="61"/>
      <c r="U71" s="60"/>
      <c r="V71" s="31"/>
      <c r="W71" s="61"/>
      <c r="X71" s="60"/>
      <c r="Y71" s="31"/>
      <c r="Z71" s="61"/>
      <c r="AA71" s="60"/>
      <c r="AB71" s="31"/>
      <c r="AC71" s="61"/>
      <c r="AD71" s="60"/>
      <c r="AE71" s="31"/>
      <c r="AF71" s="61"/>
      <c r="AG71" s="60"/>
      <c r="AH71" s="31"/>
      <c r="AI71" s="61"/>
      <c r="AJ71" s="60"/>
      <c r="AK71" s="31"/>
      <c r="AL71" s="61"/>
      <c r="AM71" s="60"/>
      <c r="AN71" s="31"/>
      <c r="AO71" s="61"/>
      <c r="AP71" s="60"/>
      <c r="AQ71" s="31"/>
      <c r="AR71" s="61"/>
      <c r="AS71" s="60"/>
      <c r="AT71" s="31"/>
      <c r="AU71" s="61"/>
      <c r="AV71" s="60"/>
      <c r="AW71" s="31"/>
      <c r="AX71" s="61"/>
    </row>
    <row r="72" ht="39.75" customHeight="1">
      <c r="A72" s="62"/>
      <c r="B72" s="156"/>
      <c r="C72" s="105" t="str">
        <f>VLOOKUP(D72,[1]Saldo!A71:B31344,2,0)</f>
        <v>#ERROR!</v>
      </c>
      <c r="D72" s="68" t="s">
        <v>708</v>
      </c>
      <c r="E72" s="68" t="s">
        <v>704</v>
      </c>
      <c r="F72" s="149">
        <v>4.0</v>
      </c>
      <c r="G72" s="68">
        <v>2000.0</v>
      </c>
      <c r="H72" s="150">
        <f>'PAINEL DE CONTROLE'!$G$5</f>
        <v>28359</v>
      </c>
      <c r="I72" s="150">
        <v>24649.0</v>
      </c>
      <c r="J72" s="150">
        <f t="shared" si="3"/>
        <v>26649</v>
      </c>
      <c r="K72" s="151">
        <f t="shared" si="4"/>
        <v>-1710</v>
      </c>
      <c r="L72" s="60"/>
      <c r="M72" s="31"/>
      <c r="N72" s="61"/>
      <c r="O72" s="60"/>
      <c r="P72" s="31"/>
      <c r="Q72" s="61"/>
      <c r="R72" s="60"/>
      <c r="S72" s="31"/>
      <c r="T72" s="61"/>
      <c r="U72" s="60"/>
      <c r="V72" s="31"/>
      <c r="W72" s="61"/>
      <c r="X72" s="60"/>
      <c r="Y72" s="31"/>
      <c r="Z72" s="61"/>
      <c r="AA72" s="60"/>
      <c r="AB72" s="31"/>
      <c r="AC72" s="61"/>
      <c r="AD72" s="60"/>
      <c r="AE72" s="31"/>
      <c r="AF72" s="61"/>
      <c r="AG72" s="60"/>
      <c r="AH72" s="31"/>
      <c r="AI72" s="61"/>
      <c r="AJ72" s="60"/>
      <c r="AK72" s="31"/>
      <c r="AL72" s="61"/>
      <c r="AM72" s="60"/>
      <c r="AN72" s="31"/>
      <c r="AO72" s="61"/>
      <c r="AP72" s="60"/>
      <c r="AQ72" s="31"/>
      <c r="AR72" s="61"/>
      <c r="AS72" s="60"/>
      <c r="AT72" s="31"/>
      <c r="AU72" s="61"/>
      <c r="AV72" s="60"/>
      <c r="AW72" s="31"/>
      <c r="AX72" s="61"/>
    </row>
    <row r="73" ht="39.75" customHeight="1">
      <c r="A73" s="62"/>
      <c r="B73" s="156"/>
      <c r="C73" s="105" t="str">
        <f>VLOOKUP(D73,[1]Saldo!A72:B31345,2,0)</f>
        <v>#ERROR!</v>
      </c>
      <c r="D73" s="68" t="s">
        <v>709</v>
      </c>
      <c r="E73" s="68" t="s">
        <v>704</v>
      </c>
      <c r="F73" s="149">
        <v>4.0</v>
      </c>
      <c r="G73" s="68">
        <v>2000.0</v>
      </c>
      <c r="H73" s="150">
        <f>'PAINEL DE CONTROLE'!$G$5</f>
        <v>28359</v>
      </c>
      <c r="I73" s="150">
        <v>24649.0</v>
      </c>
      <c r="J73" s="150">
        <f t="shared" si="3"/>
        <v>26649</v>
      </c>
      <c r="K73" s="151">
        <f t="shared" si="4"/>
        <v>-1710</v>
      </c>
      <c r="L73" s="60"/>
      <c r="M73" s="31"/>
      <c r="N73" s="61"/>
      <c r="O73" s="60"/>
      <c r="P73" s="31"/>
      <c r="Q73" s="61"/>
      <c r="R73" s="60"/>
      <c r="S73" s="31"/>
      <c r="T73" s="61"/>
      <c r="U73" s="60"/>
      <c r="V73" s="31"/>
      <c r="W73" s="61"/>
      <c r="X73" s="60"/>
      <c r="Y73" s="31"/>
      <c r="Z73" s="61"/>
      <c r="AA73" s="60"/>
      <c r="AB73" s="31"/>
      <c r="AC73" s="61"/>
      <c r="AD73" s="60"/>
      <c r="AE73" s="31"/>
      <c r="AF73" s="61"/>
      <c r="AG73" s="60"/>
      <c r="AH73" s="31"/>
      <c r="AI73" s="61"/>
      <c r="AJ73" s="60"/>
      <c r="AK73" s="31"/>
      <c r="AL73" s="61"/>
      <c r="AM73" s="60"/>
      <c r="AN73" s="31"/>
      <c r="AO73" s="61"/>
      <c r="AP73" s="60"/>
      <c r="AQ73" s="31"/>
      <c r="AR73" s="61"/>
      <c r="AS73" s="60"/>
      <c r="AT73" s="31"/>
      <c r="AU73" s="61"/>
      <c r="AV73" s="60"/>
      <c r="AW73" s="31"/>
      <c r="AX73" s="61"/>
    </row>
    <row r="74" ht="39.75" customHeight="1">
      <c r="A74" s="62"/>
      <c r="B74" s="156"/>
      <c r="C74" s="105" t="str">
        <f>VLOOKUP(D74,[1]Saldo!A73:B31346,2,0)</f>
        <v>#ERROR!</v>
      </c>
      <c r="D74" s="68" t="s">
        <v>710</v>
      </c>
      <c r="E74" s="68" t="s">
        <v>704</v>
      </c>
      <c r="F74" s="149">
        <v>4.0</v>
      </c>
      <c r="G74" s="68">
        <v>2000.0</v>
      </c>
      <c r="H74" s="150">
        <f>'PAINEL DE CONTROLE'!$G$5</f>
        <v>28359</v>
      </c>
      <c r="I74" s="150">
        <v>24649.0</v>
      </c>
      <c r="J74" s="150">
        <f t="shared" si="3"/>
        <v>26649</v>
      </c>
      <c r="K74" s="151">
        <f t="shared" si="4"/>
        <v>-1710</v>
      </c>
      <c r="L74" s="60"/>
      <c r="M74" s="31"/>
      <c r="N74" s="61"/>
      <c r="O74" s="60"/>
      <c r="P74" s="31"/>
      <c r="Q74" s="61"/>
      <c r="R74" s="60"/>
      <c r="S74" s="31"/>
      <c r="T74" s="61"/>
      <c r="U74" s="60"/>
      <c r="V74" s="31"/>
      <c r="W74" s="61"/>
      <c r="X74" s="60"/>
      <c r="Y74" s="31"/>
      <c r="Z74" s="61"/>
      <c r="AA74" s="60"/>
      <c r="AB74" s="31"/>
      <c r="AC74" s="61"/>
      <c r="AD74" s="60"/>
      <c r="AE74" s="31"/>
      <c r="AF74" s="61"/>
      <c r="AG74" s="60"/>
      <c r="AH74" s="31"/>
      <c r="AI74" s="61"/>
      <c r="AJ74" s="60"/>
      <c r="AK74" s="31"/>
      <c r="AL74" s="61"/>
      <c r="AM74" s="60"/>
      <c r="AN74" s="31"/>
      <c r="AO74" s="61"/>
      <c r="AP74" s="60"/>
      <c r="AQ74" s="31"/>
      <c r="AR74" s="61"/>
      <c r="AS74" s="60"/>
      <c r="AT74" s="31"/>
      <c r="AU74" s="61"/>
      <c r="AV74" s="60"/>
      <c r="AW74" s="31"/>
      <c r="AX74" s="61"/>
    </row>
    <row r="75" ht="39.75" customHeight="1">
      <c r="A75" s="63"/>
      <c r="B75" s="156"/>
      <c r="C75" s="105" t="str">
        <f>VLOOKUP(D75,[1]Saldo!A74:B31347,2,0)</f>
        <v>#ERROR!</v>
      </c>
      <c r="D75" s="68" t="s">
        <v>711</v>
      </c>
      <c r="E75" s="68" t="s">
        <v>712</v>
      </c>
      <c r="F75" s="149">
        <v>4.0</v>
      </c>
      <c r="G75" s="68">
        <v>2000.0</v>
      </c>
      <c r="H75" s="150">
        <f>'PAINEL DE CONTROLE'!$G$5</f>
        <v>28359</v>
      </c>
      <c r="I75" s="150">
        <v>24649.0</v>
      </c>
      <c r="J75" s="150">
        <f t="shared" si="3"/>
        <v>26649</v>
      </c>
      <c r="K75" s="151">
        <f t="shared" si="4"/>
        <v>-1710</v>
      </c>
      <c r="L75" s="60"/>
      <c r="M75" s="31"/>
      <c r="N75" s="61"/>
      <c r="O75" s="60"/>
      <c r="P75" s="31"/>
      <c r="Q75" s="61"/>
      <c r="R75" s="60"/>
      <c r="S75" s="31"/>
      <c r="T75" s="61"/>
      <c r="U75" s="60"/>
      <c r="V75" s="31"/>
      <c r="W75" s="61"/>
      <c r="X75" s="60"/>
      <c r="Y75" s="31"/>
      <c r="Z75" s="61"/>
      <c r="AA75" s="60"/>
      <c r="AB75" s="31"/>
      <c r="AC75" s="61"/>
      <c r="AD75" s="60"/>
      <c r="AE75" s="31"/>
      <c r="AF75" s="61"/>
      <c r="AG75" s="60"/>
      <c r="AH75" s="31"/>
      <c r="AI75" s="61"/>
      <c r="AJ75" s="60"/>
      <c r="AK75" s="31"/>
      <c r="AL75" s="61"/>
      <c r="AM75" s="60"/>
      <c r="AN75" s="31"/>
      <c r="AO75" s="61"/>
      <c r="AP75" s="60"/>
      <c r="AQ75" s="31"/>
      <c r="AR75" s="61"/>
      <c r="AS75" s="60"/>
      <c r="AT75" s="31"/>
      <c r="AU75" s="61"/>
      <c r="AV75" s="60"/>
      <c r="AW75" s="31"/>
      <c r="AX75" s="61"/>
    </row>
    <row r="76" ht="39.75" customHeight="1">
      <c r="A76" s="159" t="s">
        <v>49</v>
      </c>
      <c r="B76" s="157"/>
      <c r="C76" s="105" t="str">
        <f>VLOOKUP(D76,[1]Saldo!A75:B31348,2,0)</f>
        <v>#ERROR!</v>
      </c>
      <c r="D76" s="68" t="s">
        <v>713</v>
      </c>
      <c r="E76" s="68" t="s">
        <v>714</v>
      </c>
      <c r="F76" s="149">
        <v>12.0</v>
      </c>
      <c r="G76" s="68">
        <v>2000.0</v>
      </c>
      <c r="H76" s="150">
        <f>'PAINEL DE CONTROLE'!$G$5</f>
        <v>28359</v>
      </c>
      <c r="I76" s="150">
        <v>24649.0</v>
      </c>
      <c r="J76" s="150">
        <f t="shared" si="3"/>
        <v>26649</v>
      </c>
      <c r="K76" s="151">
        <f t="shared" si="4"/>
        <v>-1710</v>
      </c>
      <c r="L76" s="60"/>
      <c r="M76" s="31"/>
      <c r="N76" s="61"/>
      <c r="O76" s="60"/>
      <c r="P76" s="31"/>
      <c r="Q76" s="61"/>
      <c r="R76" s="60"/>
      <c r="S76" s="31"/>
      <c r="T76" s="61"/>
      <c r="U76" s="60"/>
      <c r="V76" s="31"/>
      <c r="W76" s="61"/>
      <c r="X76" s="60"/>
      <c r="Y76" s="31"/>
      <c r="Z76" s="61"/>
      <c r="AA76" s="60"/>
      <c r="AB76" s="31"/>
      <c r="AC76" s="61"/>
      <c r="AD76" s="60"/>
      <c r="AE76" s="31"/>
      <c r="AF76" s="61"/>
      <c r="AG76" s="60"/>
      <c r="AH76" s="31"/>
      <c r="AI76" s="61"/>
      <c r="AJ76" s="60"/>
      <c r="AK76" s="31"/>
      <c r="AL76" s="61"/>
      <c r="AM76" s="60"/>
      <c r="AN76" s="31"/>
      <c r="AO76" s="61"/>
      <c r="AP76" s="60"/>
      <c r="AQ76" s="31"/>
      <c r="AR76" s="61"/>
      <c r="AS76" s="60"/>
      <c r="AT76" s="31"/>
      <c r="AU76" s="61"/>
      <c r="AV76" s="60"/>
      <c r="AW76" s="31"/>
      <c r="AX76" s="61"/>
    </row>
    <row r="77" ht="39.75" customHeight="1">
      <c r="A77" s="62"/>
      <c r="B77" s="157"/>
      <c r="C77" s="105" t="str">
        <f>VLOOKUP(D77,[1]Saldo!A76:B31349,2,0)</f>
        <v>#ERROR!</v>
      </c>
      <c r="D77" s="68" t="s">
        <v>715</v>
      </c>
      <c r="E77" s="68" t="s">
        <v>716</v>
      </c>
      <c r="F77" s="149">
        <v>4.0</v>
      </c>
      <c r="G77" s="68">
        <v>2000.0</v>
      </c>
      <c r="H77" s="150">
        <f>'PAINEL DE CONTROLE'!$G$5</f>
        <v>28359</v>
      </c>
      <c r="I77" s="150">
        <v>24649.0</v>
      </c>
      <c r="J77" s="150">
        <f t="shared" si="3"/>
        <v>26649</v>
      </c>
      <c r="K77" s="151">
        <f t="shared" si="4"/>
        <v>-1710</v>
      </c>
      <c r="L77" s="60"/>
      <c r="M77" s="31"/>
      <c r="N77" s="61"/>
      <c r="O77" s="60"/>
      <c r="P77" s="31"/>
      <c r="Q77" s="61"/>
      <c r="R77" s="60"/>
      <c r="S77" s="31"/>
      <c r="T77" s="61"/>
      <c r="U77" s="60"/>
      <c r="V77" s="31"/>
      <c r="W77" s="61"/>
      <c r="X77" s="60"/>
      <c r="Y77" s="31"/>
      <c r="Z77" s="61"/>
      <c r="AA77" s="60"/>
      <c r="AB77" s="31"/>
      <c r="AC77" s="61"/>
      <c r="AD77" s="60"/>
      <c r="AE77" s="31"/>
      <c r="AF77" s="61"/>
      <c r="AG77" s="60"/>
      <c r="AH77" s="31"/>
      <c r="AI77" s="61"/>
      <c r="AJ77" s="60"/>
      <c r="AK77" s="31"/>
      <c r="AL77" s="61"/>
      <c r="AM77" s="60"/>
      <c r="AN77" s="31"/>
      <c r="AO77" s="61"/>
      <c r="AP77" s="60"/>
      <c r="AQ77" s="31"/>
      <c r="AR77" s="61"/>
      <c r="AS77" s="60"/>
      <c r="AT77" s="31"/>
      <c r="AU77" s="61"/>
      <c r="AV77" s="60"/>
      <c r="AW77" s="31"/>
      <c r="AX77" s="61"/>
    </row>
    <row r="78" ht="39.75" customHeight="1">
      <c r="A78" s="62"/>
      <c r="B78" s="157"/>
      <c r="C78" s="105" t="str">
        <f>VLOOKUP(D78,[1]Saldo!A77:B31350,2,0)</f>
        <v>#ERROR!</v>
      </c>
      <c r="D78" s="68" t="s">
        <v>717</v>
      </c>
      <c r="E78" s="68" t="s">
        <v>718</v>
      </c>
      <c r="F78" s="149">
        <v>4.0</v>
      </c>
      <c r="G78" s="68">
        <v>2000.0</v>
      </c>
      <c r="H78" s="150">
        <f>'PAINEL DE CONTROLE'!$G$5</f>
        <v>28359</v>
      </c>
      <c r="I78" s="150">
        <v>24649.0</v>
      </c>
      <c r="J78" s="150">
        <f t="shared" si="3"/>
        <v>26649</v>
      </c>
      <c r="K78" s="151">
        <f t="shared" si="4"/>
        <v>-1710</v>
      </c>
      <c r="L78" s="60"/>
      <c r="M78" s="31"/>
      <c r="N78" s="61"/>
      <c r="O78" s="60"/>
      <c r="P78" s="31"/>
      <c r="Q78" s="61"/>
      <c r="R78" s="60"/>
      <c r="S78" s="31"/>
      <c r="T78" s="61"/>
      <c r="U78" s="60"/>
      <c r="V78" s="31"/>
      <c r="W78" s="61"/>
      <c r="X78" s="60"/>
      <c r="Y78" s="31"/>
      <c r="Z78" s="61"/>
      <c r="AA78" s="60"/>
      <c r="AB78" s="31"/>
      <c r="AC78" s="61"/>
      <c r="AD78" s="60"/>
      <c r="AE78" s="31"/>
      <c r="AF78" s="61"/>
      <c r="AG78" s="60"/>
      <c r="AH78" s="31"/>
      <c r="AI78" s="61"/>
      <c r="AJ78" s="60"/>
      <c r="AK78" s="31"/>
      <c r="AL78" s="61"/>
      <c r="AM78" s="60"/>
      <c r="AN78" s="31"/>
      <c r="AO78" s="61"/>
      <c r="AP78" s="60"/>
      <c r="AQ78" s="31"/>
      <c r="AR78" s="61"/>
      <c r="AS78" s="60"/>
      <c r="AT78" s="31"/>
      <c r="AU78" s="61"/>
      <c r="AV78" s="60"/>
      <c r="AW78" s="31"/>
      <c r="AX78" s="61"/>
    </row>
    <row r="79" ht="39.75" customHeight="1">
      <c r="A79" s="62"/>
      <c r="B79" s="157"/>
      <c r="C79" s="105" t="str">
        <f>VLOOKUP(D79,[1]Saldo!A78:B31351,2,0)</f>
        <v>#ERROR!</v>
      </c>
      <c r="D79" s="68" t="s">
        <v>719</v>
      </c>
      <c r="E79" s="68" t="s">
        <v>720</v>
      </c>
      <c r="F79" s="149">
        <v>4.0</v>
      </c>
      <c r="G79" s="68">
        <v>2000.0</v>
      </c>
      <c r="H79" s="150">
        <f>'PAINEL DE CONTROLE'!$G$5</f>
        <v>28359</v>
      </c>
      <c r="I79" s="150">
        <v>24649.0</v>
      </c>
      <c r="J79" s="150">
        <f t="shared" si="3"/>
        <v>26649</v>
      </c>
      <c r="K79" s="151">
        <f t="shared" si="4"/>
        <v>-1710</v>
      </c>
      <c r="L79" s="60"/>
      <c r="M79" s="31"/>
      <c r="N79" s="61"/>
      <c r="O79" s="60"/>
      <c r="P79" s="31"/>
      <c r="Q79" s="61"/>
      <c r="R79" s="60"/>
      <c r="S79" s="31"/>
      <c r="T79" s="61"/>
      <c r="U79" s="60"/>
      <c r="V79" s="31"/>
      <c r="W79" s="61"/>
      <c r="X79" s="60"/>
      <c r="Y79" s="31"/>
      <c r="Z79" s="61"/>
      <c r="AA79" s="60"/>
      <c r="AB79" s="31"/>
      <c r="AC79" s="61"/>
      <c r="AD79" s="60"/>
      <c r="AE79" s="31"/>
      <c r="AF79" s="61"/>
      <c r="AG79" s="60"/>
      <c r="AH79" s="31"/>
      <c r="AI79" s="61"/>
      <c r="AJ79" s="60"/>
      <c r="AK79" s="31"/>
      <c r="AL79" s="61"/>
      <c r="AM79" s="60"/>
      <c r="AN79" s="31"/>
      <c r="AO79" s="61"/>
      <c r="AP79" s="60"/>
      <c r="AQ79" s="31"/>
      <c r="AR79" s="61"/>
      <c r="AS79" s="60"/>
      <c r="AT79" s="31"/>
      <c r="AU79" s="61"/>
      <c r="AV79" s="60"/>
      <c r="AW79" s="31"/>
      <c r="AX79" s="61"/>
    </row>
    <row r="80" ht="39.75" customHeight="1">
      <c r="A80" s="62"/>
      <c r="B80" s="157"/>
      <c r="C80" s="105" t="str">
        <f>VLOOKUP(D80,[1]Saldo!A79:B31352,2,0)</f>
        <v>#ERROR!</v>
      </c>
      <c r="D80" s="68" t="s">
        <v>721</v>
      </c>
      <c r="E80" s="68" t="s">
        <v>722</v>
      </c>
      <c r="F80" s="149">
        <v>8.0</v>
      </c>
      <c r="G80" s="68">
        <v>2000.0</v>
      </c>
      <c r="H80" s="150">
        <f>'PAINEL DE CONTROLE'!$G$5</f>
        <v>28359</v>
      </c>
      <c r="I80" s="150">
        <v>24649.0</v>
      </c>
      <c r="J80" s="150">
        <f t="shared" si="3"/>
        <v>26649</v>
      </c>
      <c r="K80" s="151">
        <f t="shared" si="4"/>
        <v>-1710</v>
      </c>
      <c r="L80" s="60"/>
      <c r="M80" s="31"/>
      <c r="N80" s="61"/>
      <c r="O80" s="60"/>
      <c r="P80" s="31"/>
      <c r="Q80" s="61"/>
      <c r="R80" s="60"/>
      <c r="S80" s="31"/>
      <c r="T80" s="61"/>
      <c r="U80" s="60"/>
      <c r="V80" s="31"/>
      <c r="W80" s="61"/>
      <c r="X80" s="60"/>
      <c r="Y80" s="31"/>
      <c r="Z80" s="61"/>
      <c r="AA80" s="60"/>
      <c r="AB80" s="31"/>
      <c r="AC80" s="61"/>
      <c r="AD80" s="60"/>
      <c r="AE80" s="31"/>
      <c r="AF80" s="61"/>
      <c r="AG80" s="60"/>
      <c r="AH80" s="31"/>
      <c r="AI80" s="61"/>
      <c r="AJ80" s="60"/>
      <c r="AK80" s="31"/>
      <c r="AL80" s="61"/>
      <c r="AM80" s="60"/>
      <c r="AN80" s="31"/>
      <c r="AO80" s="61"/>
      <c r="AP80" s="60"/>
      <c r="AQ80" s="31"/>
      <c r="AR80" s="61"/>
      <c r="AS80" s="60"/>
      <c r="AT80" s="31"/>
      <c r="AU80" s="61"/>
      <c r="AV80" s="60"/>
      <c r="AW80" s="31"/>
      <c r="AX80" s="61"/>
    </row>
    <row r="81" ht="39.75" customHeight="1">
      <c r="A81" s="62"/>
      <c r="B81" s="157"/>
      <c r="C81" s="105" t="str">
        <f>VLOOKUP(D81,[1]Saldo!A80:B31353,2,0)</f>
        <v>#ERROR!</v>
      </c>
      <c r="D81" s="68" t="s">
        <v>723</v>
      </c>
      <c r="E81" s="68" t="s">
        <v>724</v>
      </c>
      <c r="F81" s="149">
        <v>8.0</v>
      </c>
      <c r="G81" s="68">
        <v>2000.0</v>
      </c>
      <c r="H81" s="150">
        <f>'PAINEL DE CONTROLE'!$G$5</f>
        <v>28359</v>
      </c>
      <c r="I81" s="150">
        <v>24649.0</v>
      </c>
      <c r="J81" s="150">
        <f t="shared" si="3"/>
        <v>26649</v>
      </c>
      <c r="K81" s="151">
        <f t="shared" si="4"/>
        <v>-1710</v>
      </c>
      <c r="L81" s="60"/>
      <c r="M81" s="31"/>
      <c r="N81" s="61"/>
      <c r="O81" s="60"/>
      <c r="P81" s="31"/>
      <c r="Q81" s="61"/>
      <c r="R81" s="60"/>
      <c r="S81" s="31"/>
      <c r="T81" s="61"/>
      <c r="U81" s="60"/>
      <c r="V81" s="31"/>
      <c r="W81" s="61"/>
      <c r="X81" s="60"/>
      <c r="Y81" s="31"/>
      <c r="Z81" s="61"/>
      <c r="AA81" s="60"/>
      <c r="AB81" s="31"/>
      <c r="AC81" s="61"/>
      <c r="AD81" s="60"/>
      <c r="AE81" s="31"/>
      <c r="AF81" s="61"/>
      <c r="AG81" s="60"/>
      <c r="AH81" s="31"/>
      <c r="AI81" s="61"/>
      <c r="AJ81" s="60"/>
      <c r="AK81" s="31"/>
      <c r="AL81" s="61"/>
      <c r="AM81" s="60"/>
      <c r="AN81" s="31"/>
      <c r="AO81" s="61"/>
      <c r="AP81" s="60"/>
      <c r="AQ81" s="31"/>
      <c r="AR81" s="61"/>
      <c r="AS81" s="60"/>
      <c r="AT81" s="31"/>
      <c r="AU81" s="61"/>
      <c r="AV81" s="60"/>
      <c r="AW81" s="31"/>
      <c r="AX81" s="61"/>
    </row>
    <row r="82" ht="39.75" customHeight="1">
      <c r="A82" s="62"/>
      <c r="B82" s="157"/>
      <c r="C82" s="105" t="str">
        <f>VLOOKUP(D82,[1]Saldo!A81:B31354,2,0)</f>
        <v>#ERROR!</v>
      </c>
      <c r="D82" s="68" t="s">
        <v>725</v>
      </c>
      <c r="E82" s="68" t="s">
        <v>726</v>
      </c>
      <c r="F82" s="149">
        <v>4.0</v>
      </c>
      <c r="G82" s="68">
        <v>2000.0</v>
      </c>
      <c r="H82" s="150">
        <f>'PAINEL DE CONTROLE'!$G$5</f>
        <v>28359</v>
      </c>
      <c r="I82" s="150">
        <v>24649.0</v>
      </c>
      <c r="J82" s="150">
        <f t="shared" si="3"/>
        <v>26649</v>
      </c>
      <c r="K82" s="151">
        <f t="shared" si="4"/>
        <v>-1710</v>
      </c>
      <c r="L82" s="60"/>
      <c r="M82" s="31"/>
      <c r="N82" s="61"/>
      <c r="O82" s="60"/>
      <c r="P82" s="31"/>
      <c r="Q82" s="61"/>
      <c r="R82" s="60"/>
      <c r="S82" s="31"/>
      <c r="T82" s="61"/>
      <c r="U82" s="60"/>
      <c r="V82" s="31"/>
      <c r="W82" s="61"/>
      <c r="X82" s="60"/>
      <c r="Y82" s="31"/>
      <c r="Z82" s="61"/>
      <c r="AA82" s="60"/>
      <c r="AB82" s="31"/>
      <c r="AC82" s="61"/>
      <c r="AD82" s="60"/>
      <c r="AE82" s="31"/>
      <c r="AF82" s="61"/>
      <c r="AG82" s="60"/>
      <c r="AH82" s="31"/>
      <c r="AI82" s="61"/>
      <c r="AJ82" s="60"/>
      <c r="AK82" s="31"/>
      <c r="AL82" s="61"/>
      <c r="AM82" s="60"/>
      <c r="AN82" s="31"/>
      <c r="AO82" s="61"/>
      <c r="AP82" s="60"/>
      <c r="AQ82" s="31"/>
      <c r="AR82" s="61"/>
      <c r="AS82" s="60"/>
      <c r="AT82" s="31"/>
      <c r="AU82" s="61"/>
      <c r="AV82" s="60"/>
      <c r="AW82" s="31"/>
      <c r="AX82" s="61"/>
    </row>
    <row r="83" ht="39.75" customHeight="1">
      <c r="A83" s="62"/>
      <c r="B83" s="157"/>
      <c r="C83" s="105" t="str">
        <f>VLOOKUP(D83,[1]Saldo!A82:B31355,2,0)</f>
        <v>#ERROR!</v>
      </c>
      <c r="D83" s="68" t="s">
        <v>727</v>
      </c>
      <c r="E83" s="68" t="s">
        <v>718</v>
      </c>
      <c r="F83" s="149">
        <v>4.0</v>
      </c>
      <c r="G83" s="68">
        <v>2000.0</v>
      </c>
      <c r="H83" s="150">
        <f>'PAINEL DE CONTROLE'!$G$5</f>
        <v>28359</v>
      </c>
      <c r="I83" s="150">
        <v>24649.0</v>
      </c>
      <c r="J83" s="150">
        <f t="shared" si="3"/>
        <v>26649</v>
      </c>
      <c r="K83" s="151">
        <f t="shared" si="4"/>
        <v>-1710</v>
      </c>
      <c r="L83" s="60"/>
      <c r="M83" s="31"/>
      <c r="N83" s="61"/>
      <c r="O83" s="60"/>
      <c r="P83" s="31"/>
      <c r="Q83" s="61"/>
      <c r="R83" s="60"/>
      <c r="S83" s="31"/>
      <c r="T83" s="61"/>
      <c r="U83" s="60"/>
      <c r="V83" s="31"/>
      <c r="W83" s="61"/>
      <c r="X83" s="60"/>
      <c r="Y83" s="31"/>
      <c r="Z83" s="61"/>
      <c r="AA83" s="60"/>
      <c r="AB83" s="31"/>
      <c r="AC83" s="61"/>
      <c r="AD83" s="60"/>
      <c r="AE83" s="31"/>
      <c r="AF83" s="61"/>
      <c r="AG83" s="60"/>
      <c r="AH83" s="31"/>
      <c r="AI83" s="61"/>
      <c r="AJ83" s="60"/>
      <c r="AK83" s="31"/>
      <c r="AL83" s="61"/>
      <c r="AM83" s="60"/>
      <c r="AN83" s="31"/>
      <c r="AO83" s="61"/>
      <c r="AP83" s="60"/>
      <c r="AQ83" s="31"/>
      <c r="AR83" s="61"/>
      <c r="AS83" s="60"/>
      <c r="AT83" s="31"/>
      <c r="AU83" s="61"/>
      <c r="AV83" s="60"/>
      <c r="AW83" s="31"/>
      <c r="AX83" s="61"/>
    </row>
    <row r="84" ht="39.75" customHeight="1">
      <c r="A84" s="62"/>
      <c r="B84" s="157"/>
      <c r="C84" s="105" t="str">
        <f>VLOOKUP(D84,[1]Saldo!A83:B31356,2,0)</f>
        <v>#ERROR!</v>
      </c>
      <c r="D84" s="68" t="s">
        <v>728</v>
      </c>
      <c r="E84" s="68" t="s">
        <v>729</v>
      </c>
      <c r="F84" s="149">
        <v>4.0</v>
      </c>
      <c r="G84" s="68">
        <v>2000.0</v>
      </c>
      <c r="H84" s="150">
        <f>'PAINEL DE CONTROLE'!$G$5</f>
        <v>28359</v>
      </c>
      <c r="I84" s="150">
        <v>24649.0</v>
      </c>
      <c r="J84" s="150">
        <f t="shared" si="3"/>
        <v>26649</v>
      </c>
      <c r="K84" s="151">
        <f t="shared" si="4"/>
        <v>-1710</v>
      </c>
      <c r="L84" s="60"/>
      <c r="M84" s="31"/>
      <c r="N84" s="61"/>
      <c r="O84" s="60"/>
      <c r="P84" s="31"/>
      <c r="Q84" s="61"/>
      <c r="R84" s="60"/>
      <c r="S84" s="31"/>
      <c r="T84" s="61"/>
      <c r="U84" s="60"/>
      <c r="V84" s="31"/>
      <c r="W84" s="61"/>
      <c r="X84" s="60"/>
      <c r="Y84" s="31"/>
      <c r="Z84" s="61"/>
      <c r="AA84" s="60"/>
      <c r="AB84" s="31"/>
      <c r="AC84" s="61"/>
      <c r="AD84" s="60"/>
      <c r="AE84" s="31"/>
      <c r="AF84" s="61"/>
      <c r="AG84" s="60"/>
      <c r="AH84" s="31"/>
      <c r="AI84" s="61"/>
      <c r="AJ84" s="60"/>
      <c r="AK84" s="31"/>
      <c r="AL84" s="61"/>
      <c r="AM84" s="60"/>
      <c r="AN84" s="31"/>
      <c r="AO84" s="61"/>
      <c r="AP84" s="60"/>
      <c r="AQ84" s="31"/>
      <c r="AR84" s="61"/>
      <c r="AS84" s="60"/>
      <c r="AT84" s="31"/>
      <c r="AU84" s="61"/>
      <c r="AV84" s="60"/>
      <c r="AW84" s="31"/>
      <c r="AX84" s="61"/>
    </row>
    <row r="85" ht="39.75" customHeight="1">
      <c r="A85" s="62"/>
      <c r="B85" s="157"/>
      <c r="C85" s="105" t="str">
        <f>VLOOKUP(D85,[1]Saldo!A84:B31357,2,0)</f>
        <v>#ERROR!</v>
      </c>
      <c r="D85" s="68" t="s">
        <v>730</v>
      </c>
      <c r="E85" s="68" t="s">
        <v>716</v>
      </c>
      <c r="F85" s="149">
        <v>2.0</v>
      </c>
      <c r="G85" s="68">
        <v>2000.0</v>
      </c>
      <c r="H85" s="150">
        <f>'PAINEL DE CONTROLE'!$G$5</f>
        <v>28359</v>
      </c>
      <c r="I85" s="150">
        <v>24649.0</v>
      </c>
      <c r="J85" s="150">
        <f t="shared" si="3"/>
        <v>26649</v>
      </c>
      <c r="K85" s="151">
        <f t="shared" si="4"/>
        <v>-1710</v>
      </c>
      <c r="L85" s="60"/>
      <c r="M85" s="31"/>
      <c r="N85" s="61"/>
      <c r="O85" s="60"/>
      <c r="P85" s="31"/>
      <c r="Q85" s="61"/>
      <c r="R85" s="60"/>
      <c r="S85" s="31"/>
      <c r="T85" s="61"/>
      <c r="U85" s="60"/>
      <c r="V85" s="31"/>
      <c r="W85" s="61"/>
      <c r="X85" s="60"/>
      <c r="Y85" s="31"/>
      <c r="Z85" s="61"/>
      <c r="AA85" s="60"/>
      <c r="AB85" s="31"/>
      <c r="AC85" s="61"/>
      <c r="AD85" s="60"/>
      <c r="AE85" s="31"/>
      <c r="AF85" s="61"/>
      <c r="AG85" s="60"/>
      <c r="AH85" s="31"/>
      <c r="AI85" s="61"/>
      <c r="AJ85" s="60"/>
      <c r="AK85" s="31"/>
      <c r="AL85" s="61"/>
      <c r="AM85" s="60"/>
      <c r="AN85" s="31"/>
      <c r="AO85" s="61"/>
      <c r="AP85" s="60"/>
      <c r="AQ85" s="31"/>
      <c r="AR85" s="61"/>
      <c r="AS85" s="60"/>
      <c r="AT85" s="31"/>
      <c r="AU85" s="61"/>
      <c r="AV85" s="60"/>
      <c r="AW85" s="31"/>
      <c r="AX85" s="61"/>
    </row>
    <row r="86" ht="39.75" customHeight="1">
      <c r="A86" s="62"/>
      <c r="B86" s="157"/>
      <c r="C86" s="105" t="str">
        <f>VLOOKUP(D86,[1]Saldo!A85:B31358,2,0)</f>
        <v>#ERROR!</v>
      </c>
      <c r="D86" s="68" t="s">
        <v>731</v>
      </c>
      <c r="E86" s="68" t="s">
        <v>732</v>
      </c>
      <c r="F86" s="149">
        <v>4.0</v>
      </c>
      <c r="G86" s="68">
        <v>2000.0</v>
      </c>
      <c r="H86" s="150">
        <f>'PAINEL DE CONTROLE'!$G$5</f>
        <v>28359</v>
      </c>
      <c r="I86" s="150">
        <v>24649.0</v>
      </c>
      <c r="J86" s="150">
        <f t="shared" si="3"/>
        <v>26649</v>
      </c>
      <c r="K86" s="151">
        <f t="shared" si="4"/>
        <v>-1710</v>
      </c>
      <c r="L86" s="60"/>
      <c r="M86" s="31"/>
      <c r="N86" s="61"/>
      <c r="O86" s="60"/>
      <c r="P86" s="31"/>
      <c r="Q86" s="61"/>
      <c r="R86" s="60"/>
      <c r="S86" s="31"/>
      <c r="T86" s="61"/>
      <c r="U86" s="60"/>
      <c r="V86" s="31"/>
      <c r="W86" s="61"/>
      <c r="X86" s="60"/>
      <c r="Y86" s="31"/>
      <c r="Z86" s="61"/>
      <c r="AA86" s="60"/>
      <c r="AB86" s="31"/>
      <c r="AC86" s="61"/>
      <c r="AD86" s="60"/>
      <c r="AE86" s="31"/>
      <c r="AF86" s="61"/>
      <c r="AG86" s="60"/>
      <c r="AH86" s="31"/>
      <c r="AI86" s="61"/>
      <c r="AJ86" s="60"/>
      <c r="AK86" s="31"/>
      <c r="AL86" s="61"/>
      <c r="AM86" s="60"/>
      <c r="AN86" s="31"/>
      <c r="AO86" s="61"/>
      <c r="AP86" s="60"/>
      <c r="AQ86" s="31"/>
      <c r="AR86" s="61"/>
      <c r="AS86" s="60"/>
      <c r="AT86" s="31"/>
      <c r="AU86" s="61"/>
      <c r="AV86" s="60"/>
      <c r="AW86" s="31"/>
      <c r="AX86" s="61"/>
    </row>
    <row r="87" ht="39.75" customHeight="1">
      <c r="A87" s="62"/>
      <c r="B87" s="157"/>
      <c r="C87" s="105" t="str">
        <f>VLOOKUP(D87,[1]Saldo!A86:B31359,2,0)</f>
        <v>#ERROR!</v>
      </c>
      <c r="D87" s="68" t="s">
        <v>733</v>
      </c>
      <c r="E87" s="68" t="s">
        <v>716</v>
      </c>
      <c r="F87" s="149">
        <v>2.0</v>
      </c>
      <c r="G87" s="68">
        <v>2000.0</v>
      </c>
      <c r="H87" s="150">
        <f>'PAINEL DE CONTROLE'!$G$5</f>
        <v>28359</v>
      </c>
      <c r="I87" s="150">
        <v>24649.0</v>
      </c>
      <c r="J87" s="150">
        <f t="shared" si="3"/>
        <v>26649</v>
      </c>
      <c r="K87" s="151">
        <f t="shared" si="4"/>
        <v>-1710</v>
      </c>
      <c r="L87" s="60"/>
      <c r="M87" s="31"/>
      <c r="N87" s="61"/>
      <c r="O87" s="60"/>
      <c r="P87" s="31"/>
      <c r="Q87" s="61"/>
      <c r="R87" s="60"/>
      <c r="S87" s="31"/>
      <c r="T87" s="61"/>
      <c r="U87" s="60"/>
      <c r="V87" s="31"/>
      <c r="W87" s="61"/>
      <c r="X87" s="60"/>
      <c r="Y87" s="31"/>
      <c r="Z87" s="61"/>
      <c r="AA87" s="60"/>
      <c r="AB87" s="31"/>
      <c r="AC87" s="61"/>
      <c r="AD87" s="60"/>
      <c r="AE87" s="31"/>
      <c r="AF87" s="61"/>
      <c r="AG87" s="60"/>
      <c r="AH87" s="31"/>
      <c r="AI87" s="61"/>
      <c r="AJ87" s="60"/>
      <c r="AK87" s="31"/>
      <c r="AL87" s="61"/>
      <c r="AM87" s="60"/>
      <c r="AN87" s="31"/>
      <c r="AO87" s="61"/>
      <c r="AP87" s="60"/>
      <c r="AQ87" s="31"/>
      <c r="AR87" s="61"/>
      <c r="AS87" s="60"/>
      <c r="AT87" s="31"/>
      <c r="AU87" s="61"/>
      <c r="AV87" s="60"/>
      <c r="AW87" s="31"/>
      <c r="AX87" s="61"/>
    </row>
    <row r="88" ht="39.75" customHeight="1">
      <c r="A88" s="62"/>
      <c r="B88" s="157"/>
      <c r="C88" s="105" t="str">
        <f>VLOOKUP(D88,[1]Saldo!A87:B31360,2,0)</f>
        <v>#ERROR!</v>
      </c>
      <c r="D88" s="68" t="s">
        <v>734</v>
      </c>
      <c r="E88" s="68" t="s">
        <v>735</v>
      </c>
      <c r="F88" s="149">
        <v>1.0</v>
      </c>
      <c r="G88" s="68">
        <v>2000.0</v>
      </c>
      <c r="H88" s="150">
        <f>'PAINEL DE CONTROLE'!$G$5</f>
        <v>28359</v>
      </c>
      <c r="I88" s="150">
        <v>24649.0</v>
      </c>
      <c r="J88" s="150">
        <f t="shared" si="3"/>
        <v>26649</v>
      </c>
      <c r="K88" s="151">
        <f t="shared" si="4"/>
        <v>-1710</v>
      </c>
      <c r="L88" s="60"/>
      <c r="M88" s="31"/>
      <c r="N88" s="61"/>
      <c r="O88" s="60"/>
      <c r="P88" s="31"/>
      <c r="Q88" s="61"/>
      <c r="R88" s="60"/>
      <c r="S88" s="31"/>
      <c r="T88" s="61"/>
      <c r="U88" s="60"/>
      <c r="V88" s="31"/>
      <c r="W88" s="61"/>
      <c r="X88" s="60"/>
      <c r="Y88" s="31"/>
      <c r="Z88" s="61"/>
      <c r="AA88" s="60"/>
      <c r="AB88" s="31"/>
      <c r="AC88" s="61"/>
      <c r="AD88" s="60"/>
      <c r="AE88" s="31"/>
      <c r="AF88" s="61"/>
      <c r="AG88" s="60"/>
      <c r="AH88" s="31"/>
      <c r="AI88" s="61"/>
      <c r="AJ88" s="60"/>
      <c r="AK88" s="31"/>
      <c r="AL88" s="61"/>
      <c r="AM88" s="60"/>
      <c r="AN88" s="31"/>
      <c r="AO88" s="61"/>
      <c r="AP88" s="60"/>
      <c r="AQ88" s="31"/>
      <c r="AR88" s="61"/>
      <c r="AS88" s="60"/>
      <c r="AT88" s="31"/>
      <c r="AU88" s="61"/>
      <c r="AV88" s="60"/>
      <c r="AW88" s="31"/>
      <c r="AX88" s="61"/>
    </row>
    <row r="89" ht="39.75" customHeight="1">
      <c r="A89" s="63"/>
      <c r="B89" s="157"/>
      <c r="C89" s="105" t="str">
        <f>VLOOKUP(D89,[1]Saldo!A88:B31361,2,0)</f>
        <v>#ERROR!</v>
      </c>
      <c r="D89" s="68" t="s">
        <v>736</v>
      </c>
      <c r="E89" s="68" t="s">
        <v>737</v>
      </c>
      <c r="F89" s="149">
        <v>1.0</v>
      </c>
      <c r="G89" s="68">
        <v>2000.0</v>
      </c>
      <c r="H89" s="150">
        <f>'PAINEL DE CONTROLE'!$G$5</f>
        <v>28359</v>
      </c>
      <c r="I89" s="150">
        <v>24649.0</v>
      </c>
      <c r="J89" s="150">
        <f t="shared" si="3"/>
        <v>26649</v>
      </c>
      <c r="K89" s="151">
        <f t="shared" si="4"/>
        <v>-1710</v>
      </c>
      <c r="L89" s="60"/>
      <c r="M89" s="31"/>
      <c r="N89" s="61"/>
      <c r="O89" s="60"/>
      <c r="P89" s="31"/>
      <c r="Q89" s="61"/>
      <c r="R89" s="60"/>
      <c r="S89" s="31"/>
      <c r="T89" s="61"/>
      <c r="U89" s="60"/>
      <c r="V89" s="31"/>
      <c r="W89" s="61"/>
      <c r="X89" s="60"/>
      <c r="Y89" s="31"/>
      <c r="Z89" s="61"/>
      <c r="AA89" s="60"/>
      <c r="AB89" s="31"/>
      <c r="AC89" s="61"/>
      <c r="AD89" s="60"/>
      <c r="AE89" s="31"/>
      <c r="AF89" s="61"/>
      <c r="AG89" s="60"/>
      <c r="AH89" s="31"/>
      <c r="AI89" s="61"/>
      <c r="AJ89" s="60"/>
      <c r="AK89" s="31"/>
      <c r="AL89" s="61"/>
      <c r="AM89" s="60"/>
      <c r="AN89" s="31"/>
      <c r="AO89" s="61"/>
      <c r="AP89" s="60"/>
      <c r="AQ89" s="31"/>
      <c r="AR89" s="61"/>
      <c r="AS89" s="60"/>
      <c r="AT89" s="31"/>
      <c r="AU89" s="61"/>
      <c r="AV89" s="60"/>
      <c r="AW89" s="31"/>
      <c r="AX89" s="61"/>
    </row>
    <row r="90" ht="39.75" customHeight="1">
      <c r="A90" s="147" t="s">
        <v>50</v>
      </c>
      <c r="B90" s="156"/>
      <c r="C90" s="105" t="str">
        <f>VLOOKUP(D90,[1]Saldo!A89:B31362,2,0)</f>
        <v>#ERROR!</v>
      </c>
      <c r="D90" s="68" t="s">
        <v>738</v>
      </c>
      <c r="E90" s="68" t="s">
        <v>686</v>
      </c>
      <c r="F90" s="149">
        <v>2.0</v>
      </c>
      <c r="G90" s="68">
        <v>2000.0</v>
      </c>
      <c r="H90" s="150">
        <f>'PAINEL DE CONTROLE'!$G$5</f>
        <v>28359</v>
      </c>
      <c r="I90" s="150">
        <v>24649.0</v>
      </c>
      <c r="J90" s="150">
        <f t="shared" si="3"/>
        <v>26649</v>
      </c>
      <c r="K90" s="151">
        <f t="shared" si="4"/>
        <v>-1710</v>
      </c>
      <c r="L90" s="60"/>
      <c r="M90" s="31"/>
      <c r="N90" s="61"/>
      <c r="O90" s="60"/>
      <c r="P90" s="31"/>
      <c r="Q90" s="61"/>
      <c r="R90" s="60"/>
      <c r="S90" s="31"/>
      <c r="T90" s="61"/>
      <c r="U90" s="60"/>
      <c r="V90" s="31"/>
      <c r="W90" s="61"/>
      <c r="X90" s="60"/>
      <c r="Y90" s="31"/>
      <c r="Z90" s="61"/>
      <c r="AA90" s="60"/>
      <c r="AB90" s="31"/>
      <c r="AC90" s="61"/>
      <c r="AD90" s="60"/>
      <c r="AE90" s="31"/>
      <c r="AF90" s="61"/>
      <c r="AG90" s="60"/>
      <c r="AH90" s="31"/>
      <c r="AI90" s="61"/>
      <c r="AJ90" s="60"/>
      <c r="AK90" s="31"/>
      <c r="AL90" s="61"/>
      <c r="AM90" s="60"/>
      <c r="AN90" s="31"/>
      <c r="AO90" s="61"/>
      <c r="AP90" s="60"/>
      <c r="AQ90" s="31"/>
      <c r="AR90" s="61"/>
      <c r="AS90" s="60"/>
      <c r="AT90" s="31"/>
      <c r="AU90" s="61"/>
      <c r="AV90" s="60"/>
      <c r="AW90" s="31"/>
      <c r="AX90" s="61"/>
    </row>
    <row r="91" ht="39.75" customHeight="1">
      <c r="A91" s="63"/>
      <c r="B91" s="156"/>
      <c r="C91" s="105" t="str">
        <f>VLOOKUP(D91,[1]Saldo!A90:B31363,2,0)</f>
        <v>#ERROR!</v>
      </c>
      <c r="D91" s="68" t="s">
        <v>739</v>
      </c>
      <c r="E91" s="68" t="s">
        <v>680</v>
      </c>
      <c r="F91" s="149">
        <v>2.0</v>
      </c>
      <c r="G91" s="68">
        <v>2000.0</v>
      </c>
      <c r="H91" s="150">
        <f>'PAINEL DE CONTROLE'!$G$5</f>
        <v>28359</v>
      </c>
      <c r="I91" s="150">
        <v>24649.0</v>
      </c>
      <c r="J91" s="150">
        <f t="shared" si="3"/>
        <v>26649</v>
      </c>
      <c r="K91" s="151">
        <f t="shared" si="4"/>
        <v>-1710</v>
      </c>
      <c r="L91" s="60"/>
      <c r="M91" s="31"/>
      <c r="N91" s="61"/>
      <c r="O91" s="60"/>
      <c r="P91" s="31"/>
      <c r="Q91" s="61"/>
      <c r="R91" s="60"/>
      <c r="S91" s="31"/>
      <c r="T91" s="61"/>
      <c r="U91" s="60"/>
      <c r="V91" s="31"/>
      <c r="W91" s="61"/>
      <c r="X91" s="60"/>
      <c r="Y91" s="31"/>
      <c r="Z91" s="61"/>
      <c r="AA91" s="60"/>
      <c r="AB91" s="31"/>
      <c r="AC91" s="61"/>
      <c r="AD91" s="60"/>
      <c r="AE91" s="31"/>
      <c r="AF91" s="61"/>
      <c r="AG91" s="60"/>
      <c r="AH91" s="31"/>
      <c r="AI91" s="61"/>
      <c r="AJ91" s="60"/>
      <c r="AK91" s="31"/>
      <c r="AL91" s="61"/>
      <c r="AM91" s="60"/>
      <c r="AN91" s="31"/>
      <c r="AO91" s="61"/>
      <c r="AP91" s="60"/>
      <c r="AQ91" s="31"/>
      <c r="AR91" s="61"/>
      <c r="AS91" s="60"/>
      <c r="AT91" s="31"/>
      <c r="AU91" s="61"/>
      <c r="AV91" s="60"/>
      <c r="AW91" s="31"/>
      <c r="AX91" s="61"/>
    </row>
    <row r="92" ht="39.75" customHeight="1">
      <c r="A92" s="147" t="s">
        <v>740</v>
      </c>
      <c r="B92" s="156"/>
      <c r="C92" s="105" t="str">
        <f>VLOOKUP(D92,[1]Saldo!A91:B31364,2,0)</f>
        <v>#ERROR!</v>
      </c>
      <c r="D92" s="68" t="s">
        <v>741</v>
      </c>
      <c r="E92" s="68" t="s">
        <v>742</v>
      </c>
      <c r="F92" s="149">
        <v>8.0</v>
      </c>
      <c r="G92" s="68">
        <v>2000.0</v>
      </c>
      <c r="H92" s="150">
        <f>'PAINEL DE CONTROLE'!$G$5</f>
        <v>28359</v>
      </c>
      <c r="I92" s="150">
        <v>24649.0</v>
      </c>
      <c r="J92" s="150">
        <f t="shared" si="3"/>
        <v>26649</v>
      </c>
      <c r="K92" s="151">
        <f t="shared" si="4"/>
        <v>-1710</v>
      </c>
      <c r="L92" s="60"/>
      <c r="M92" s="31"/>
      <c r="N92" s="61"/>
      <c r="O92" s="60"/>
      <c r="P92" s="31"/>
      <c r="Q92" s="61"/>
      <c r="R92" s="60"/>
      <c r="S92" s="31"/>
      <c r="T92" s="61"/>
      <c r="U92" s="60"/>
      <c r="V92" s="31"/>
      <c r="W92" s="61"/>
      <c r="X92" s="60"/>
      <c r="Y92" s="31"/>
      <c r="Z92" s="61"/>
      <c r="AA92" s="60"/>
      <c r="AB92" s="31"/>
      <c r="AC92" s="61"/>
      <c r="AD92" s="60"/>
      <c r="AE92" s="31"/>
      <c r="AF92" s="61"/>
      <c r="AG92" s="60"/>
      <c r="AH92" s="31"/>
      <c r="AI92" s="61"/>
      <c r="AJ92" s="60"/>
      <c r="AK92" s="31"/>
      <c r="AL92" s="61"/>
      <c r="AM92" s="60"/>
      <c r="AN92" s="31"/>
      <c r="AO92" s="61"/>
      <c r="AP92" s="60"/>
      <c r="AQ92" s="31"/>
      <c r="AR92" s="61"/>
      <c r="AS92" s="60"/>
      <c r="AT92" s="31"/>
      <c r="AU92" s="61"/>
      <c r="AV92" s="60"/>
      <c r="AW92" s="31"/>
      <c r="AX92" s="61"/>
    </row>
    <row r="93" ht="39.75" customHeight="1">
      <c r="A93" s="62"/>
      <c r="B93" s="156"/>
      <c r="C93" s="105" t="str">
        <f>VLOOKUP(D93,[1]Saldo!A92:B31365,2,0)</f>
        <v>#ERROR!</v>
      </c>
      <c r="D93" s="68" t="s">
        <v>743</v>
      </c>
      <c r="E93" s="68" t="s">
        <v>742</v>
      </c>
      <c r="F93" s="149">
        <v>16.0</v>
      </c>
      <c r="G93" s="68">
        <v>2000.0</v>
      </c>
      <c r="H93" s="150">
        <f>'PAINEL DE CONTROLE'!$G$5</f>
        <v>28359</v>
      </c>
      <c r="I93" s="150">
        <v>24649.0</v>
      </c>
      <c r="J93" s="150">
        <f t="shared" si="3"/>
        <v>26649</v>
      </c>
      <c r="K93" s="151">
        <f t="shared" si="4"/>
        <v>-1710</v>
      </c>
      <c r="L93" s="60"/>
      <c r="M93" s="31"/>
      <c r="N93" s="61"/>
      <c r="O93" s="60"/>
      <c r="P93" s="31"/>
      <c r="Q93" s="61"/>
      <c r="R93" s="60"/>
      <c r="S93" s="31"/>
      <c r="T93" s="61"/>
      <c r="U93" s="60"/>
      <c r="V93" s="31"/>
      <c r="W93" s="61"/>
      <c r="X93" s="60"/>
      <c r="Y93" s="31"/>
      <c r="Z93" s="61"/>
      <c r="AA93" s="60"/>
      <c r="AB93" s="31"/>
      <c r="AC93" s="61"/>
      <c r="AD93" s="60"/>
      <c r="AE93" s="31"/>
      <c r="AF93" s="61"/>
      <c r="AG93" s="60"/>
      <c r="AH93" s="31"/>
      <c r="AI93" s="61"/>
      <c r="AJ93" s="60"/>
      <c r="AK93" s="31"/>
      <c r="AL93" s="61"/>
      <c r="AM93" s="60"/>
      <c r="AN93" s="31"/>
      <c r="AO93" s="61"/>
      <c r="AP93" s="60"/>
      <c r="AQ93" s="31"/>
      <c r="AR93" s="61"/>
      <c r="AS93" s="60"/>
      <c r="AT93" s="31"/>
      <c r="AU93" s="61"/>
      <c r="AV93" s="60"/>
      <c r="AW93" s="31"/>
      <c r="AX93" s="61"/>
    </row>
    <row r="94" ht="39.75" customHeight="1">
      <c r="A94" s="62"/>
      <c r="B94" s="156"/>
      <c r="C94" s="105" t="str">
        <f>VLOOKUP(D94,[1]Saldo!A93:B31366,2,0)</f>
        <v>#ERROR!</v>
      </c>
      <c r="D94" s="68" t="s">
        <v>744</v>
      </c>
      <c r="E94" s="68" t="s">
        <v>745</v>
      </c>
      <c r="F94" s="149">
        <v>2.0</v>
      </c>
      <c r="G94" s="68">
        <v>2000.0</v>
      </c>
      <c r="H94" s="150">
        <f>'PAINEL DE CONTROLE'!$G$5</f>
        <v>28359</v>
      </c>
      <c r="I94" s="150">
        <v>24649.0</v>
      </c>
      <c r="J94" s="150">
        <f t="shared" si="3"/>
        <v>26649</v>
      </c>
      <c r="K94" s="151">
        <f t="shared" si="4"/>
        <v>-1710</v>
      </c>
      <c r="L94" s="60"/>
      <c r="M94" s="31"/>
      <c r="N94" s="61"/>
      <c r="O94" s="60"/>
      <c r="P94" s="31"/>
      <c r="Q94" s="61"/>
      <c r="R94" s="60"/>
      <c r="S94" s="31"/>
      <c r="T94" s="61"/>
      <c r="U94" s="60"/>
      <c r="V94" s="31"/>
      <c r="W94" s="61"/>
      <c r="X94" s="60"/>
      <c r="Y94" s="31"/>
      <c r="Z94" s="61"/>
      <c r="AA94" s="60"/>
      <c r="AB94" s="31"/>
      <c r="AC94" s="61"/>
      <c r="AD94" s="60"/>
      <c r="AE94" s="31"/>
      <c r="AF94" s="61"/>
      <c r="AG94" s="60"/>
      <c r="AH94" s="31"/>
      <c r="AI94" s="61"/>
      <c r="AJ94" s="60"/>
      <c r="AK94" s="31"/>
      <c r="AL94" s="61"/>
      <c r="AM94" s="60"/>
      <c r="AN94" s="31"/>
      <c r="AO94" s="61"/>
      <c r="AP94" s="60"/>
      <c r="AQ94" s="31"/>
      <c r="AR94" s="61"/>
      <c r="AS94" s="60"/>
      <c r="AT94" s="31"/>
      <c r="AU94" s="61"/>
      <c r="AV94" s="60"/>
      <c r="AW94" s="31"/>
      <c r="AX94" s="61"/>
    </row>
    <row r="95" ht="39.75" customHeight="1">
      <c r="A95" s="62"/>
      <c r="B95" s="156"/>
      <c r="C95" s="105" t="str">
        <f>VLOOKUP(D95,[1]Saldo!A94:B31367,2,0)</f>
        <v>#ERROR!</v>
      </c>
      <c r="D95" s="68" t="s">
        <v>746</v>
      </c>
      <c r="E95" s="68" t="s">
        <v>747</v>
      </c>
      <c r="F95" s="149">
        <v>2.0</v>
      </c>
      <c r="G95" s="68">
        <v>2000.0</v>
      </c>
      <c r="H95" s="150">
        <f>'PAINEL DE CONTROLE'!$G$5</f>
        <v>28359</v>
      </c>
      <c r="I95" s="150">
        <v>24649.0</v>
      </c>
      <c r="J95" s="150">
        <f t="shared" si="3"/>
        <v>26649</v>
      </c>
      <c r="K95" s="151">
        <f t="shared" si="4"/>
        <v>-1710</v>
      </c>
      <c r="L95" s="60"/>
      <c r="M95" s="31"/>
      <c r="N95" s="61"/>
      <c r="O95" s="60"/>
      <c r="P95" s="31"/>
      <c r="Q95" s="61"/>
      <c r="R95" s="60"/>
      <c r="S95" s="31"/>
      <c r="T95" s="61"/>
      <c r="U95" s="60"/>
      <c r="V95" s="31"/>
      <c r="W95" s="61"/>
      <c r="X95" s="60"/>
      <c r="Y95" s="31"/>
      <c r="Z95" s="61"/>
      <c r="AA95" s="60"/>
      <c r="AB95" s="31"/>
      <c r="AC95" s="61"/>
      <c r="AD95" s="60"/>
      <c r="AE95" s="31"/>
      <c r="AF95" s="61"/>
      <c r="AG95" s="60"/>
      <c r="AH95" s="31"/>
      <c r="AI95" s="61"/>
      <c r="AJ95" s="60"/>
      <c r="AK95" s="31"/>
      <c r="AL95" s="61"/>
      <c r="AM95" s="60"/>
      <c r="AN95" s="31"/>
      <c r="AO95" s="61"/>
      <c r="AP95" s="60"/>
      <c r="AQ95" s="31"/>
      <c r="AR95" s="61"/>
      <c r="AS95" s="60"/>
      <c r="AT95" s="31"/>
      <c r="AU95" s="61"/>
      <c r="AV95" s="60"/>
      <c r="AW95" s="31"/>
      <c r="AX95" s="61"/>
    </row>
    <row r="96" ht="39.75" customHeight="1">
      <c r="A96" s="62"/>
      <c r="B96" s="156"/>
      <c r="C96" s="105" t="str">
        <f>VLOOKUP(D96,[1]Saldo!A95:B31368,2,0)</f>
        <v>#ERROR!</v>
      </c>
      <c r="D96" s="68" t="s">
        <v>748</v>
      </c>
      <c r="E96" s="68" t="s">
        <v>742</v>
      </c>
      <c r="F96" s="149">
        <v>4.0</v>
      </c>
      <c r="G96" s="68">
        <v>2000.0</v>
      </c>
      <c r="H96" s="150">
        <f>'PAINEL DE CONTROLE'!$G$5</f>
        <v>28359</v>
      </c>
      <c r="I96" s="150">
        <v>24649.0</v>
      </c>
      <c r="J96" s="150">
        <f t="shared" si="3"/>
        <v>26649</v>
      </c>
      <c r="K96" s="151">
        <f t="shared" si="4"/>
        <v>-1710</v>
      </c>
      <c r="L96" s="60"/>
      <c r="M96" s="31"/>
      <c r="N96" s="61"/>
      <c r="O96" s="60"/>
      <c r="P96" s="31"/>
      <c r="Q96" s="61"/>
      <c r="R96" s="60"/>
      <c r="S96" s="31"/>
      <c r="T96" s="61"/>
      <c r="U96" s="60"/>
      <c r="V96" s="31"/>
      <c r="W96" s="61"/>
      <c r="X96" s="60"/>
      <c r="Y96" s="31"/>
      <c r="Z96" s="61"/>
      <c r="AA96" s="60"/>
      <c r="AB96" s="31"/>
      <c r="AC96" s="61"/>
      <c r="AD96" s="60"/>
      <c r="AE96" s="31"/>
      <c r="AF96" s="61"/>
      <c r="AG96" s="60"/>
      <c r="AH96" s="31"/>
      <c r="AI96" s="61"/>
      <c r="AJ96" s="60"/>
      <c r="AK96" s="31"/>
      <c r="AL96" s="61"/>
      <c r="AM96" s="60"/>
      <c r="AN96" s="31"/>
      <c r="AO96" s="61"/>
      <c r="AP96" s="60"/>
      <c r="AQ96" s="31"/>
      <c r="AR96" s="61"/>
      <c r="AS96" s="60"/>
      <c r="AT96" s="31"/>
      <c r="AU96" s="61"/>
      <c r="AV96" s="60"/>
      <c r="AW96" s="31"/>
      <c r="AX96" s="61"/>
    </row>
    <row r="97" ht="39.75" customHeight="1">
      <c r="A97" s="62"/>
      <c r="B97" s="156"/>
      <c r="C97" s="105" t="str">
        <f>VLOOKUP(D97,[1]Saldo!A96:B31369,2,0)</f>
        <v>#ERROR!</v>
      </c>
      <c r="D97" s="68" t="s">
        <v>749</v>
      </c>
      <c r="E97" s="68" t="s">
        <v>750</v>
      </c>
      <c r="F97" s="149">
        <v>2.0</v>
      </c>
      <c r="G97" s="68">
        <v>4000.0</v>
      </c>
      <c r="H97" s="150">
        <f>'PAINEL DE CONTROLE'!$G$5</f>
        <v>28359</v>
      </c>
      <c r="I97" s="150">
        <v>24649.0</v>
      </c>
      <c r="J97" s="150">
        <f t="shared" si="3"/>
        <v>28649</v>
      </c>
      <c r="K97" s="151">
        <f t="shared" si="4"/>
        <v>290</v>
      </c>
      <c r="L97" s="60"/>
      <c r="M97" s="31"/>
      <c r="N97" s="61"/>
      <c r="O97" s="60"/>
      <c r="P97" s="31"/>
      <c r="Q97" s="61"/>
      <c r="R97" s="60"/>
      <c r="S97" s="31"/>
      <c r="T97" s="61"/>
      <c r="U97" s="60"/>
      <c r="V97" s="31"/>
      <c r="W97" s="61"/>
      <c r="X97" s="60"/>
      <c r="Y97" s="31"/>
      <c r="Z97" s="61"/>
      <c r="AA97" s="60"/>
      <c r="AB97" s="31"/>
      <c r="AC97" s="61"/>
      <c r="AD97" s="60"/>
      <c r="AE97" s="31"/>
      <c r="AF97" s="61"/>
      <c r="AG97" s="60"/>
      <c r="AH97" s="31"/>
      <c r="AI97" s="61"/>
      <c r="AJ97" s="60"/>
      <c r="AK97" s="31"/>
      <c r="AL97" s="61"/>
      <c r="AM97" s="60"/>
      <c r="AN97" s="31"/>
      <c r="AO97" s="61"/>
      <c r="AP97" s="60"/>
      <c r="AQ97" s="31"/>
      <c r="AR97" s="61"/>
      <c r="AS97" s="60"/>
      <c r="AT97" s="31"/>
      <c r="AU97" s="61"/>
      <c r="AV97" s="60"/>
      <c r="AW97" s="31"/>
      <c r="AX97" s="61"/>
    </row>
    <row r="98" ht="39.75" customHeight="1">
      <c r="A98" s="62"/>
      <c r="B98" s="156"/>
      <c r="C98" s="105" t="str">
        <f>VLOOKUP(D98,[1]Saldo!A97:B31370,2,0)</f>
        <v>#ERROR!</v>
      </c>
      <c r="D98" s="68" t="s">
        <v>751</v>
      </c>
      <c r="E98" s="68" t="s">
        <v>752</v>
      </c>
      <c r="F98" s="149">
        <v>4.0</v>
      </c>
      <c r="G98" s="68">
        <v>5000.0</v>
      </c>
      <c r="H98" s="150">
        <f>'PAINEL DE CONTROLE'!$G$5</f>
        <v>28359</v>
      </c>
      <c r="I98" s="150">
        <v>24649.0</v>
      </c>
      <c r="J98" s="150">
        <f t="shared" si="3"/>
        <v>29649</v>
      </c>
      <c r="K98" s="151">
        <f t="shared" si="4"/>
        <v>1290</v>
      </c>
      <c r="L98" s="60"/>
      <c r="M98" s="31"/>
      <c r="N98" s="61"/>
      <c r="O98" s="60"/>
      <c r="P98" s="31"/>
      <c r="Q98" s="61"/>
      <c r="R98" s="60"/>
      <c r="S98" s="31"/>
      <c r="T98" s="61"/>
      <c r="U98" s="60"/>
      <c r="V98" s="31"/>
      <c r="W98" s="61"/>
      <c r="X98" s="60"/>
      <c r="Y98" s="31"/>
      <c r="Z98" s="61"/>
      <c r="AA98" s="60"/>
      <c r="AB98" s="31"/>
      <c r="AC98" s="61"/>
      <c r="AD98" s="60"/>
      <c r="AE98" s="31"/>
      <c r="AF98" s="61"/>
      <c r="AG98" s="60"/>
      <c r="AH98" s="31"/>
      <c r="AI98" s="61"/>
      <c r="AJ98" s="60"/>
      <c r="AK98" s="31"/>
      <c r="AL98" s="61"/>
      <c r="AM98" s="60"/>
      <c r="AN98" s="31"/>
      <c r="AO98" s="61"/>
      <c r="AP98" s="60"/>
      <c r="AQ98" s="31"/>
      <c r="AR98" s="61"/>
      <c r="AS98" s="60"/>
      <c r="AT98" s="31"/>
      <c r="AU98" s="61"/>
      <c r="AV98" s="60"/>
      <c r="AW98" s="31"/>
      <c r="AX98" s="61"/>
    </row>
    <row r="99" ht="39.75" customHeight="1">
      <c r="A99" s="62"/>
      <c r="B99" s="156"/>
      <c r="C99" s="105" t="str">
        <f>VLOOKUP(D99,[1]Saldo!A98:B31371,2,0)</f>
        <v>#ERROR!</v>
      </c>
      <c r="D99" s="68" t="s">
        <v>753</v>
      </c>
      <c r="E99" s="68" t="s">
        <v>750</v>
      </c>
      <c r="F99" s="149">
        <v>4.0</v>
      </c>
      <c r="G99" s="68">
        <v>6000.0</v>
      </c>
      <c r="H99" s="150">
        <f>'PAINEL DE CONTROLE'!$G$5</f>
        <v>28359</v>
      </c>
      <c r="I99" s="150">
        <v>24649.0</v>
      </c>
      <c r="J99" s="150">
        <f t="shared" si="3"/>
        <v>30649</v>
      </c>
      <c r="K99" s="151">
        <f t="shared" si="4"/>
        <v>2290</v>
      </c>
      <c r="L99" s="60"/>
      <c r="M99" s="31"/>
      <c r="N99" s="61"/>
      <c r="O99" s="60"/>
      <c r="P99" s="31"/>
      <c r="Q99" s="61"/>
      <c r="R99" s="60"/>
      <c r="S99" s="31"/>
      <c r="T99" s="61"/>
      <c r="U99" s="60"/>
      <c r="V99" s="31"/>
      <c r="W99" s="61"/>
      <c r="X99" s="60"/>
      <c r="Y99" s="31"/>
      <c r="Z99" s="61"/>
      <c r="AA99" s="60"/>
      <c r="AB99" s="31"/>
      <c r="AC99" s="61"/>
      <c r="AD99" s="60"/>
      <c r="AE99" s="31"/>
      <c r="AF99" s="61"/>
      <c r="AG99" s="60"/>
      <c r="AH99" s="31"/>
      <c r="AI99" s="61"/>
      <c r="AJ99" s="60"/>
      <c r="AK99" s="31"/>
      <c r="AL99" s="61"/>
      <c r="AM99" s="60"/>
      <c r="AN99" s="31"/>
      <c r="AO99" s="61"/>
      <c r="AP99" s="60"/>
      <c r="AQ99" s="31"/>
      <c r="AR99" s="61"/>
      <c r="AS99" s="60"/>
      <c r="AT99" s="31"/>
      <c r="AU99" s="61"/>
      <c r="AV99" s="60"/>
      <c r="AW99" s="31"/>
      <c r="AX99" s="61"/>
    </row>
    <row r="100" ht="39.75" customHeight="1">
      <c r="A100" s="62"/>
      <c r="B100" s="156"/>
      <c r="C100" s="105" t="str">
        <f>VLOOKUP(D100,[1]Saldo!A99:B31372,2,0)</f>
        <v>#ERROR!</v>
      </c>
      <c r="D100" s="68" t="s">
        <v>754</v>
      </c>
      <c r="E100" s="68" t="s">
        <v>755</v>
      </c>
      <c r="F100" s="149">
        <v>1.0</v>
      </c>
      <c r="G100" s="68">
        <v>6000.0</v>
      </c>
      <c r="H100" s="150">
        <f>'PAINEL DE CONTROLE'!$G$5</f>
        <v>28359</v>
      </c>
      <c r="I100" s="150">
        <v>24649.0</v>
      </c>
      <c r="J100" s="150">
        <f t="shared" si="3"/>
        <v>30649</v>
      </c>
      <c r="K100" s="151">
        <f t="shared" si="4"/>
        <v>2290</v>
      </c>
      <c r="L100" s="60"/>
      <c r="M100" s="31"/>
      <c r="N100" s="61"/>
      <c r="O100" s="60"/>
      <c r="P100" s="31"/>
      <c r="Q100" s="61"/>
      <c r="R100" s="60"/>
      <c r="S100" s="31"/>
      <c r="T100" s="61"/>
      <c r="U100" s="60"/>
      <c r="V100" s="31"/>
      <c r="W100" s="61"/>
      <c r="X100" s="60"/>
      <c r="Y100" s="31"/>
      <c r="Z100" s="61"/>
      <c r="AA100" s="60"/>
      <c r="AB100" s="31"/>
      <c r="AC100" s="61"/>
      <c r="AD100" s="60"/>
      <c r="AE100" s="31"/>
      <c r="AF100" s="61"/>
      <c r="AG100" s="60"/>
      <c r="AH100" s="31"/>
      <c r="AI100" s="61"/>
      <c r="AJ100" s="60"/>
      <c r="AK100" s="31"/>
      <c r="AL100" s="61"/>
      <c r="AM100" s="60"/>
      <c r="AN100" s="31"/>
      <c r="AO100" s="61"/>
      <c r="AP100" s="60"/>
      <c r="AQ100" s="31"/>
      <c r="AR100" s="61"/>
      <c r="AS100" s="60"/>
      <c r="AT100" s="31"/>
      <c r="AU100" s="61"/>
      <c r="AV100" s="60"/>
      <c r="AW100" s="31"/>
      <c r="AX100" s="61"/>
    </row>
    <row r="101" ht="39.75" customHeight="1">
      <c r="A101" s="62"/>
      <c r="B101" s="156"/>
      <c r="C101" s="105" t="str">
        <f>VLOOKUP(D101,[1]Saldo!A100:B31373,2,0)</f>
        <v>#ERROR!</v>
      </c>
      <c r="D101" s="68" t="s">
        <v>756</v>
      </c>
      <c r="E101" s="68" t="s">
        <v>755</v>
      </c>
      <c r="F101" s="149">
        <v>1.0</v>
      </c>
      <c r="G101" s="68">
        <v>6000.0</v>
      </c>
      <c r="H101" s="150">
        <f>'PAINEL DE CONTROLE'!$G$5</f>
        <v>28359</v>
      </c>
      <c r="I101" s="150">
        <v>24649.0</v>
      </c>
      <c r="J101" s="150">
        <f t="shared" si="3"/>
        <v>30649</v>
      </c>
      <c r="K101" s="151">
        <f t="shared" si="4"/>
        <v>2290</v>
      </c>
      <c r="L101" s="60"/>
      <c r="M101" s="31"/>
      <c r="N101" s="61"/>
      <c r="O101" s="60"/>
      <c r="P101" s="31"/>
      <c r="Q101" s="61"/>
      <c r="R101" s="60"/>
      <c r="S101" s="31"/>
      <c r="T101" s="61"/>
      <c r="U101" s="60"/>
      <c r="V101" s="31"/>
      <c r="W101" s="61"/>
      <c r="X101" s="60"/>
      <c r="Y101" s="31"/>
      <c r="Z101" s="61"/>
      <c r="AA101" s="60"/>
      <c r="AB101" s="31"/>
      <c r="AC101" s="61"/>
      <c r="AD101" s="60"/>
      <c r="AE101" s="31"/>
      <c r="AF101" s="61"/>
      <c r="AG101" s="60"/>
      <c r="AH101" s="31"/>
      <c r="AI101" s="61"/>
      <c r="AJ101" s="60"/>
      <c r="AK101" s="31"/>
      <c r="AL101" s="61"/>
      <c r="AM101" s="60"/>
      <c r="AN101" s="31"/>
      <c r="AO101" s="61"/>
      <c r="AP101" s="60"/>
      <c r="AQ101" s="31"/>
      <c r="AR101" s="61"/>
      <c r="AS101" s="60"/>
      <c r="AT101" s="31"/>
      <c r="AU101" s="61"/>
      <c r="AV101" s="60"/>
      <c r="AW101" s="31"/>
      <c r="AX101" s="61"/>
    </row>
    <row r="102" ht="39.75" customHeight="1">
      <c r="A102" s="62"/>
      <c r="B102" s="156"/>
      <c r="C102" s="105" t="str">
        <f>VLOOKUP(D102,[1]Saldo!A101:B31374,2,0)</f>
        <v>#ERROR!</v>
      </c>
      <c r="D102" s="68" t="s">
        <v>757</v>
      </c>
      <c r="E102" s="68" t="s">
        <v>755</v>
      </c>
      <c r="F102" s="149">
        <v>1.0</v>
      </c>
      <c r="G102" s="68">
        <v>6000.0</v>
      </c>
      <c r="H102" s="150">
        <f>'PAINEL DE CONTROLE'!$G$5</f>
        <v>28359</v>
      </c>
      <c r="I102" s="150">
        <v>24649.0</v>
      </c>
      <c r="J102" s="150">
        <f t="shared" si="3"/>
        <v>30649</v>
      </c>
      <c r="K102" s="151">
        <f t="shared" si="4"/>
        <v>2290</v>
      </c>
      <c r="L102" s="60"/>
      <c r="M102" s="31"/>
      <c r="N102" s="61"/>
      <c r="O102" s="60"/>
      <c r="P102" s="31"/>
      <c r="Q102" s="61"/>
      <c r="R102" s="60"/>
      <c r="S102" s="31"/>
      <c r="T102" s="61"/>
      <c r="U102" s="60"/>
      <c r="V102" s="31"/>
      <c r="W102" s="61"/>
      <c r="X102" s="60"/>
      <c r="Y102" s="31"/>
      <c r="Z102" s="61"/>
      <c r="AA102" s="60"/>
      <c r="AB102" s="31"/>
      <c r="AC102" s="61"/>
      <c r="AD102" s="60"/>
      <c r="AE102" s="31"/>
      <c r="AF102" s="61"/>
      <c r="AG102" s="60"/>
      <c r="AH102" s="31"/>
      <c r="AI102" s="61"/>
      <c r="AJ102" s="60"/>
      <c r="AK102" s="31"/>
      <c r="AL102" s="61"/>
      <c r="AM102" s="60"/>
      <c r="AN102" s="31"/>
      <c r="AO102" s="61"/>
      <c r="AP102" s="60"/>
      <c r="AQ102" s="31"/>
      <c r="AR102" s="61"/>
      <c r="AS102" s="60"/>
      <c r="AT102" s="31"/>
      <c r="AU102" s="61"/>
      <c r="AV102" s="60"/>
      <c r="AW102" s="31"/>
      <c r="AX102" s="61"/>
    </row>
    <row r="103" ht="39.75" customHeight="1">
      <c r="A103" s="63"/>
      <c r="B103" s="156"/>
      <c r="C103" s="105" t="str">
        <f>VLOOKUP(D103,[1]Saldo!A102:B31375,2,0)</f>
        <v>#ERROR!</v>
      </c>
      <c r="D103" s="68" t="s">
        <v>758</v>
      </c>
      <c r="E103" s="68" t="s">
        <v>755</v>
      </c>
      <c r="F103" s="149">
        <v>1.0</v>
      </c>
      <c r="G103" s="68">
        <v>6000.0</v>
      </c>
      <c r="H103" s="150">
        <f>'PAINEL DE CONTROLE'!$G$5</f>
        <v>28359</v>
      </c>
      <c r="I103" s="150">
        <v>24649.0</v>
      </c>
      <c r="J103" s="150">
        <f t="shared" si="3"/>
        <v>30649</v>
      </c>
      <c r="K103" s="151">
        <f t="shared" si="4"/>
        <v>2290</v>
      </c>
      <c r="L103" s="60"/>
      <c r="M103" s="31"/>
      <c r="N103" s="61"/>
      <c r="O103" s="60"/>
      <c r="P103" s="31"/>
      <c r="Q103" s="61"/>
      <c r="R103" s="60"/>
      <c r="S103" s="31"/>
      <c r="T103" s="61"/>
      <c r="U103" s="60"/>
      <c r="V103" s="31"/>
      <c r="W103" s="61"/>
      <c r="X103" s="60"/>
      <c r="Y103" s="31"/>
      <c r="Z103" s="61"/>
      <c r="AA103" s="60"/>
      <c r="AB103" s="31"/>
      <c r="AC103" s="61"/>
      <c r="AD103" s="60"/>
      <c r="AE103" s="31"/>
      <c r="AF103" s="61"/>
      <c r="AG103" s="60"/>
      <c r="AH103" s="31"/>
      <c r="AI103" s="61"/>
      <c r="AJ103" s="60"/>
      <c r="AK103" s="31"/>
      <c r="AL103" s="61"/>
      <c r="AM103" s="60"/>
      <c r="AN103" s="31"/>
      <c r="AO103" s="61"/>
      <c r="AP103" s="60"/>
      <c r="AQ103" s="31"/>
      <c r="AR103" s="61"/>
      <c r="AS103" s="60"/>
      <c r="AT103" s="31"/>
      <c r="AU103" s="61"/>
      <c r="AV103" s="60"/>
      <c r="AW103" s="31"/>
      <c r="AX103" s="61"/>
    </row>
    <row r="104" ht="39.75" customHeight="1">
      <c r="A104" s="147" t="s">
        <v>52</v>
      </c>
      <c r="B104" s="156"/>
      <c r="C104" s="105" t="str">
        <f>VLOOKUP(D104,[1]Saldo!A103:B31376,2,0)</f>
        <v>#ERROR!</v>
      </c>
      <c r="D104" s="68" t="s">
        <v>759</v>
      </c>
      <c r="E104" s="68" t="s">
        <v>618</v>
      </c>
      <c r="F104" s="149">
        <v>2.0</v>
      </c>
      <c r="G104" s="68">
        <v>2000.0</v>
      </c>
      <c r="H104" s="150">
        <f>'PAINEL DE CONTROLE'!$G$5</f>
        <v>28359</v>
      </c>
      <c r="I104" s="150">
        <v>24649.0</v>
      </c>
      <c r="J104" s="150">
        <f t="shared" si="3"/>
        <v>26649</v>
      </c>
      <c r="K104" s="151">
        <f t="shared" si="4"/>
        <v>-1710</v>
      </c>
      <c r="L104" s="60"/>
      <c r="M104" s="31"/>
      <c r="N104" s="61"/>
      <c r="O104" s="60"/>
      <c r="P104" s="31"/>
      <c r="Q104" s="61"/>
      <c r="R104" s="60"/>
      <c r="S104" s="31"/>
      <c r="T104" s="61"/>
      <c r="U104" s="60"/>
      <c r="V104" s="31"/>
      <c r="W104" s="61"/>
      <c r="X104" s="60"/>
      <c r="Y104" s="31"/>
      <c r="Z104" s="61"/>
      <c r="AA104" s="60"/>
      <c r="AB104" s="31"/>
      <c r="AC104" s="61"/>
      <c r="AD104" s="60"/>
      <c r="AE104" s="31"/>
      <c r="AF104" s="61"/>
      <c r="AG104" s="60"/>
      <c r="AH104" s="31"/>
      <c r="AI104" s="61"/>
      <c r="AJ104" s="60"/>
      <c r="AK104" s="31"/>
      <c r="AL104" s="61"/>
      <c r="AM104" s="60"/>
      <c r="AN104" s="31"/>
      <c r="AO104" s="61"/>
      <c r="AP104" s="60"/>
      <c r="AQ104" s="31"/>
      <c r="AR104" s="61"/>
      <c r="AS104" s="60"/>
      <c r="AT104" s="31"/>
      <c r="AU104" s="61"/>
      <c r="AV104" s="60"/>
      <c r="AW104" s="31"/>
      <c r="AX104" s="61"/>
    </row>
    <row r="105" ht="39.75" customHeight="1">
      <c r="A105" s="62"/>
      <c r="B105" s="156"/>
      <c r="C105" s="105" t="str">
        <f>VLOOKUP(D105,[1]Saldo!A104:B31377,2,0)</f>
        <v>#ERROR!</v>
      </c>
      <c r="D105" s="68" t="s">
        <v>760</v>
      </c>
      <c r="E105" s="68" t="s">
        <v>618</v>
      </c>
      <c r="F105" s="149">
        <v>2.0</v>
      </c>
      <c r="G105" s="68">
        <v>2000.0</v>
      </c>
      <c r="H105" s="150">
        <f>'PAINEL DE CONTROLE'!$G$5</f>
        <v>28359</v>
      </c>
      <c r="I105" s="150">
        <v>24649.0</v>
      </c>
      <c r="J105" s="150">
        <f t="shared" si="3"/>
        <v>26649</v>
      </c>
      <c r="K105" s="151">
        <f t="shared" si="4"/>
        <v>-1710</v>
      </c>
      <c r="L105" s="60"/>
      <c r="M105" s="31"/>
      <c r="N105" s="61"/>
      <c r="O105" s="60"/>
      <c r="P105" s="31"/>
      <c r="Q105" s="61"/>
      <c r="R105" s="60"/>
      <c r="S105" s="31"/>
      <c r="T105" s="61"/>
      <c r="U105" s="60"/>
      <c r="V105" s="31"/>
      <c r="W105" s="61"/>
      <c r="X105" s="60"/>
      <c r="Y105" s="31"/>
      <c r="Z105" s="61"/>
      <c r="AA105" s="60"/>
      <c r="AB105" s="31"/>
      <c r="AC105" s="61"/>
      <c r="AD105" s="60"/>
      <c r="AE105" s="31"/>
      <c r="AF105" s="61"/>
      <c r="AG105" s="60"/>
      <c r="AH105" s="31"/>
      <c r="AI105" s="61"/>
      <c r="AJ105" s="60"/>
      <c r="AK105" s="31"/>
      <c r="AL105" s="61"/>
      <c r="AM105" s="60"/>
      <c r="AN105" s="31"/>
      <c r="AO105" s="61"/>
      <c r="AP105" s="60"/>
      <c r="AQ105" s="31"/>
      <c r="AR105" s="61"/>
      <c r="AS105" s="60"/>
      <c r="AT105" s="31"/>
      <c r="AU105" s="61"/>
      <c r="AV105" s="60"/>
      <c r="AW105" s="31"/>
      <c r="AX105" s="61"/>
    </row>
    <row r="106" ht="39.75" customHeight="1">
      <c r="A106" s="62"/>
      <c r="B106" s="156"/>
      <c r="C106" s="105" t="str">
        <f>VLOOKUP(D106,[1]Saldo!A105:B31378,2,0)</f>
        <v>#ERROR!</v>
      </c>
      <c r="D106" s="68" t="s">
        <v>761</v>
      </c>
      <c r="E106" s="68" t="s">
        <v>732</v>
      </c>
      <c r="F106" s="149">
        <v>1.0</v>
      </c>
      <c r="G106" s="68">
        <v>2000.0</v>
      </c>
      <c r="H106" s="150">
        <f>'PAINEL DE CONTROLE'!$G$5</f>
        <v>28359</v>
      </c>
      <c r="I106" s="150">
        <v>24649.0</v>
      </c>
      <c r="J106" s="150">
        <f t="shared" si="3"/>
        <v>26649</v>
      </c>
      <c r="K106" s="151">
        <f t="shared" si="4"/>
        <v>-1710</v>
      </c>
      <c r="L106" s="60"/>
      <c r="M106" s="31"/>
      <c r="N106" s="61"/>
      <c r="O106" s="60"/>
      <c r="P106" s="31"/>
      <c r="Q106" s="61"/>
      <c r="R106" s="60"/>
      <c r="S106" s="31"/>
      <c r="T106" s="61"/>
      <c r="U106" s="60"/>
      <c r="V106" s="31"/>
      <c r="W106" s="61"/>
      <c r="X106" s="60"/>
      <c r="Y106" s="31"/>
      <c r="Z106" s="61"/>
      <c r="AA106" s="60"/>
      <c r="AB106" s="31"/>
      <c r="AC106" s="61"/>
      <c r="AD106" s="60"/>
      <c r="AE106" s="31"/>
      <c r="AF106" s="61"/>
      <c r="AG106" s="60"/>
      <c r="AH106" s="31"/>
      <c r="AI106" s="61"/>
      <c r="AJ106" s="60"/>
      <c r="AK106" s="31"/>
      <c r="AL106" s="61"/>
      <c r="AM106" s="60"/>
      <c r="AN106" s="31"/>
      <c r="AO106" s="61"/>
      <c r="AP106" s="60"/>
      <c r="AQ106" s="31"/>
      <c r="AR106" s="61"/>
      <c r="AS106" s="60"/>
      <c r="AT106" s="31"/>
      <c r="AU106" s="61"/>
      <c r="AV106" s="60"/>
      <c r="AW106" s="31"/>
      <c r="AX106" s="61"/>
    </row>
    <row r="107" ht="39.75" customHeight="1">
      <c r="A107" s="62"/>
      <c r="B107" s="156"/>
      <c r="C107" s="105" t="str">
        <f>VLOOKUP(D107,[1]Saldo!A106:B31379,2,0)</f>
        <v>#ERROR!</v>
      </c>
      <c r="D107" s="68" t="s">
        <v>762</v>
      </c>
      <c r="E107" s="68" t="s">
        <v>618</v>
      </c>
      <c r="F107" s="149">
        <v>2.0</v>
      </c>
      <c r="G107" s="68">
        <v>2000.0</v>
      </c>
      <c r="H107" s="150">
        <f>'PAINEL DE CONTROLE'!$G$5</f>
        <v>28359</v>
      </c>
      <c r="I107" s="150">
        <v>24649.0</v>
      </c>
      <c r="J107" s="150">
        <f t="shared" si="3"/>
        <v>26649</v>
      </c>
      <c r="K107" s="151">
        <f t="shared" si="4"/>
        <v>-1710</v>
      </c>
      <c r="L107" s="60"/>
      <c r="M107" s="31"/>
      <c r="N107" s="61"/>
      <c r="O107" s="60"/>
      <c r="P107" s="31"/>
      <c r="Q107" s="61"/>
      <c r="R107" s="60"/>
      <c r="S107" s="31"/>
      <c r="T107" s="61"/>
      <c r="U107" s="60"/>
      <c r="V107" s="31"/>
      <c r="W107" s="61"/>
      <c r="X107" s="60"/>
      <c r="Y107" s="31"/>
      <c r="Z107" s="61"/>
      <c r="AA107" s="60"/>
      <c r="AB107" s="31"/>
      <c r="AC107" s="61"/>
      <c r="AD107" s="60"/>
      <c r="AE107" s="31"/>
      <c r="AF107" s="61"/>
      <c r="AG107" s="60"/>
      <c r="AH107" s="31"/>
      <c r="AI107" s="61"/>
      <c r="AJ107" s="60"/>
      <c r="AK107" s="31"/>
      <c r="AL107" s="61"/>
      <c r="AM107" s="60"/>
      <c r="AN107" s="31"/>
      <c r="AO107" s="61"/>
      <c r="AP107" s="60"/>
      <c r="AQ107" s="31"/>
      <c r="AR107" s="61"/>
      <c r="AS107" s="60"/>
      <c r="AT107" s="31"/>
      <c r="AU107" s="61"/>
      <c r="AV107" s="60"/>
      <c r="AW107" s="31"/>
      <c r="AX107" s="61"/>
    </row>
    <row r="108" ht="39.75" customHeight="1">
      <c r="A108" s="63"/>
      <c r="B108" s="156"/>
      <c r="C108" s="105" t="str">
        <f>VLOOKUP(D108,[1]Saldo!A107:B31380,2,0)</f>
        <v>#ERROR!</v>
      </c>
      <c r="D108" s="68" t="s">
        <v>763</v>
      </c>
      <c r="E108" s="68" t="s">
        <v>618</v>
      </c>
      <c r="F108" s="149">
        <v>1.0</v>
      </c>
      <c r="G108" s="68">
        <v>2000.0</v>
      </c>
      <c r="H108" s="150">
        <f>'PAINEL DE CONTROLE'!$G$5</f>
        <v>28359</v>
      </c>
      <c r="I108" s="150">
        <v>24649.0</v>
      </c>
      <c r="J108" s="150">
        <f t="shared" si="3"/>
        <v>26649</v>
      </c>
      <c r="K108" s="151">
        <f t="shared" si="4"/>
        <v>-1710</v>
      </c>
      <c r="L108" s="60"/>
      <c r="M108" s="31"/>
      <c r="N108" s="61"/>
      <c r="O108" s="60"/>
      <c r="P108" s="31"/>
      <c r="Q108" s="61"/>
      <c r="R108" s="60"/>
      <c r="S108" s="31"/>
      <c r="T108" s="61"/>
      <c r="U108" s="60"/>
      <c r="V108" s="31"/>
      <c r="W108" s="61"/>
      <c r="X108" s="60"/>
      <c r="Y108" s="31"/>
      <c r="Z108" s="61"/>
      <c r="AA108" s="60"/>
      <c r="AB108" s="31"/>
      <c r="AC108" s="61"/>
      <c r="AD108" s="60"/>
      <c r="AE108" s="31"/>
      <c r="AF108" s="61"/>
      <c r="AG108" s="60"/>
      <c r="AH108" s="31"/>
      <c r="AI108" s="61"/>
      <c r="AJ108" s="60"/>
      <c r="AK108" s="31"/>
      <c r="AL108" s="61"/>
      <c r="AM108" s="60"/>
      <c r="AN108" s="31"/>
      <c r="AO108" s="61"/>
      <c r="AP108" s="60"/>
      <c r="AQ108" s="31"/>
      <c r="AR108" s="61"/>
      <c r="AS108" s="60"/>
      <c r="AT108" s="31"/>
      <c r="AU108" s="61"/>
      <c r="AV108" s="60"/>
      <c r="AW108" s="31"/>
      <c r="AX108" s="61"/>
    </row>
    <row r="109" ht="39.75" customHeight="1">
      <c r="A109" s="158" t="s">
        <v>53</v>
      </c>
      <c r="B109" s="68"/>
      <c r="C109" s="105" t="str">
        <f>VLOOKUP(D109,[1]Saldo!A108:B31381,2,0)</f>
        <v>#ERROR!</v>
      </c>
      <c r="D109" s="68" t="s">
        <v>764</v>
      </c>
      <c r="E109" s="68" t="s">
        <v>720</v>
      </c>
      <c r="F109" s="149">
        <v>1.0</v>
      </c>
      <c r="G109" s="68">
        <v>2000.0</v>
      </c>
      <c r="H109" s="150">
        <f>'PAINEL DE CONTROLE'!$G$5</f>
        <v>28359</v>
      </c>
      <c r="I109" s="150">
        <v>24649.0</v>
      </c>
      <c r="J109" s="150">
        <f t="shared" si="3"/>
        <v>26649</v>
      </c>
      <c r="K109" s="151">
        <f t="shared" si="4"/>
        <v>-1710</v>
      </c>
      <c r="L109" s="60"/>
      <c r="M109" s="31"/>
      <c r="N109" s="61"/>
      <c r="O109" s="60"/>
      <c r="P109" s="31"/>
      <c r="Q109" s="61"/>
      <c r="R109" s="60"/>
      <c r="S109" s="31"/>
      <c r="T109" s="61"/>
      <c r="U109" s="60"/>
      <c r="V109" s="31"/>
      <c r="W109" s="61"/>
      <c r="X109" s="60"/>
      <c r="Y109" s="31"/>
      <c r="Z109" s="61"/>
      <c r="AA109" s="60"/>
      <c r="AB109" s="31"/>
      <c r="AC109" s="61"/>
      <c r="AD109" s="60"/>
      <c r="AE109" s="31"/>
      <c r="AF109" s="61"/>
      <c r="AG109" s="60"/>
      <c r="AH109" s="31"/>
      <c r="AI109" s="61"/>
      <c r="AJ109" s="60"/>
      <c r="AK109" s="31"/>
      <c r="AL109" s="61"/>
      <c r="AM109" s="60"/>
      <c r="AN109" s="31"/>
      <c r="AO109" s="61"/>
      <c r="AP109" s="60"/>
      <c r="AQ109" s="31"/>
      <c r="AR109" s="61"/>
      <c r="AS109" s="60"/>
      <c r="AT109" s="31"/>
      <c r="AU109" s="61"/>
      <c r="AV109" s="60"/>
      <c r="AW109" s="31"/>
      <c r="AX109" s="61"/>
    </row>
    <row r="110" ht="39.75" customHeight="1">
      <c r="A110" s="62"/>
      <c r="B110" s="68"/>
      <c r="C110" s="105" t="str">
        <f>VLOOKUP(D110,[1]Saldo!A109:B31382,2,0)</f>
        <v>#ERROR!</v>
      </c>
      <c r="D110" s="68" t="s">
        <v>765</v>
      </c>
      <c r="E110" s="68" t="s">
        <v>680</v>
      </c>
      <c r="F110" s="149">
        <v>1.0</v>
      </c>
      <c r="G110" s="68">
        <v>2000.0</v>
      </c>
      <c r="H110" s="150">
        <f>'PAINEL DE CONTROLE'!$G$5</f>
        <v>28359</v>
      </c>
      <c r="I110" s="150">
        <v>24649.0</v>
      </c>
      <c r="J110" s="150">
        <f t="shared" si="3"/>
        <v>26649</v>
      </c>
      <c r="K110" s="151">
        <f t="shared" si="4"/>
        <v>-1710</v>
      </c>
      <c r="L110" s="60"/>
      <c r="M110" s="31"/>
      <c r="N110" s="61"/>
      <c r="O110" s="60"/>
      <c r="P110" s="31"/>
      <c r="Q110" s="61"/>
      <c r="R110" s="60"/>
      <c r="S110" s="31"/>
      <c r="T110" s="61"/>
      <c r="U110" s="60"/>
      <c r="V110" s="31"/>
      <c r="W110" s="61"/>
      <c r="X110" s="60"/>
      <c r="Y110" s="31"/>
      <c r="Z110" s="61"/>
      <c r="AA110" s="60"/>
      <c r="AB110" s="31"/>
      <c r="AC110" s="61"/>
      <c r="AD110" s="60"/>
      <c r="AE110" s="31"/>
      <c r="AF110" s="61"/>
      <c r="AG110" s="60"/>
      <c r="AH110" s="31"/>
      <c r="AI110" s="61"/>
      <c r="AJ110" s="60"/>
      <c r="AK110" s="31"/>
      <c r="AL110" s="61"/>
      <c r="AM110" s="60"/>
      <c r="AN110" s="31"/>
      <c r="AO110" s="61"/>
      <c r="AP110" s="60"/>
      <c r="AQ110" s="31"/>
      <c r="AR110" s="61"/>
      <c r="AS110" s="60"/>
      <c r="AT110" s="31"/>
      <c r="AU110" s="61"/>
      <c r="AV110" s="60"/>
      <c r="AW110" s="31"/>
      <c r="AX110" s="61"/>
    </row>
    <row r="111" ht="39.75" customHeight="1">
      <c r="A111" s="62"/>
      <c r="B111" s="68"/>
      <c r="C111" s="105" t="str">
        <f>VLOOKUP(D111,[1]Saldo!A110:B31383,2,0)</f>
        <v>#ERROR!</v>
      </c>
      <c r="D111" s="68" t="s">
        <v>766</v>
      </c>
      <c r="E111" s="68" t="s">
        <v>680</v>
      </c>
      <c r="F111" s="149">
        <v>1.0</v>
      </c>
      <c r="G111" s="68">
        <v>2000.0</v>
      </c>
      <c r="H111" s="150">
        <f>'PAINEL DE CONTROLE'!$G$5</f>
        <v>28359</v>
      </c>
      <c r="I111" s="150">
        <v>24649.0</v>
      </c>
      <c r="J111" s="150">
        <f t="shared" si="3"/>
        <v>26649</v>
      </c>
      <c r="K111" s="151">
        <f t="shared" si="4"/>
        <v>-1710</v>
      </c>
      <c r="L111" s="60"/>
      <c r="M111" s="31"/>
      <c r="N111" s="61"/>
      <c r="O111" s="60"/>
      <c r="P111" s="31"/>
      <c r="Q111" s="61"/>
      <c r="R111" s="60"/>
      <c r="S111" s="31"/>
      <c r="T111" s="61"/>
      <c r="U111" s="60"/>
      <c r="V111" s="31"/>
      <c r="W111" s="61"/>
      <c r="X111" s="60"/>
      <c r="Y111" s="31"/>
      <c r="Z111" s="61"/>
      <c r="AA111" s="60"/>
      <c r="AB111" s="31"/>
      <c r="AC111" s="61"/>
      <c r="AD111" s="60"/>
      <c r="AE111" s="31"/>
      <c r="AF111" s="61"/>
      <c r="AG111" s="60"/>
      <c r="AH111" s="31"/>
      <c r="AI111" s="61"/>
      <c r="AJ111" s="60"/>
      <c r="AK111" s="31"/>
      <c r="AL111" s="61"/>
      <c r="AM111" s="60"/>
      <c r="AN111" s="31"/>
      <c r="AO111" s="61"/>
      <c r="AP111" s="60"/>
      <c r="AQ111" s="31"/>
      <c r="AR111" s="61"/>
      <c r="AS111" s="60"/>
      <c r="AT111" s="31"/>
      <c r="AU111" s="61"/>
      <c r="AV111" s="60"/>
      <c r="AW111" s="31"/>
      <c r="AX111" s="61"/>
    </row>
    <row r="112" ht="39.75" customHeight="1">
      <c r="A112" s="62"/>
      <c r="B112" s="68"/>
      <c r="C112" s="105" t="str">
        <f>VLOOKUP(D112,[1]Saldo!A111:B31384,2,0)</f>
        <v>#ERROR!</v>
      </c>
      <c r="D112" s="68" t="s">
        <v>767</v>
      </c>
      <c r="E112" s="68" t="s">
        <v>680</v>
      </c>
      <c r="F112" s="149">
        <v>4.0</v>
      </c>
      <c r="G112" s="68">
        <v>2000.0</v>
      </c>
      <c r="H112" s="150">
        <f>'PAINEL DE CONTROLE'!$G$5</f>
        <v>28359</v>
      </c>
      <c r="I112" s="150">
        <v>24649.0</v>
      </c>
      <c r="J112" s="150">
        <f t="shared" si="3"/>
        <v>26649</v>
      </c>
      <c r="K112" s="151">
        <f t="shared" si="4"/>
        <v>-1710</v>
      </c>
      <c r="L112" s="60"/>
      <c r="M112" s="31"/>
      <c r="N112" s="61"/>
      <c r="O112" s="60"/>
      <c r="P112" s="31"/>
      <c r="Q112" s="61"/>
      <c r="R112" s="60"/>
      <c r="S112" s="31"/>
      <c r="T112" s="61"/>
      <c r="U112" s="60"/>
      <c r="V112" s="31"/>
      <c r="W112" s="61"/>
      <c r="X112" s="60"/>
      <c r="Y112" s="31"/>
      <c r="Z112" s="61"/>
      <c r="AA112" s="60"/>
      <c r="AB112" s="31"/>
      <c r="AC112" s="61"/>
      <c r="AD112" s="60"/>
      <c r="AE112" s="31"/>
      <c r="AF112" s="61"/>
      <c r="AG112" s="60"/>
      <c r="AH112" s="31"/>
      <c r="AI112" s="61"/>
      <c r="AJ112" s="60"/>
      <c r="AK112" s="31"/>
      <c r="AL112" s="61"/>
      <c r="AM112" s="60"/>
      <c r="AN112" s="31"/>
      <c r="AO112" s="61"/>
      <c r="AP112" s="60"/>
      <c r="AQ112" s="31"/>
      <c r="AR112" s="61"/>
      <c r="AS112" s="60"/>
      <c r="AT112" s="31"/>
      <c r="AU112" s="61"/>
      <c r="AV112" s="60"/>
      <c r="AW112" s="31"/>
      <c r="AX112" s="61"/>
    </row>
    <row r="113" ht="39.75" customHeight="1">
      <c r="A113" s="62"/>
      <c r="B113" s="68"/>
      <c r="C113" s="105" t="str">
        <f>VLOOKUP(D113,[1]Saldo!A112:B31385,2,0)</f>
        <v>#ERROR!</v>
      </c>
      <c r="D113" s="68" t="s">
        <v>768</v>
      </c>
      <c r="E113" s="68" t="s">
        <v>720</v>
      </c>
      <c r="F113" s="149">
        <v>4.0</v>
      </c>
      <c r="G113" s="68">
        <v>2000.0</v>
      </c>
      <c r="H113" s="150">
        <f>'PAINEL DE CONTROLE'!$G$5</f>
        <v>28359</v>
      </c>
      <c r="I113" s="150">
        <v>24649.0</v>
      </c>
      <c r="J113" s="150">
        <f t="shared" si="3"/>
        <v>26649</v>
      </c>
      <c r="K113" s="151">
        <f t="shared" si="4"/>
        <v>-1710</v>
      </c>
      <c r="L113" s="60"/>
      <c r="M113" s="31"/>
      <c r="N113" s="61"/>
      <c r="O113" s="60"/>
      <c r="P113" s="31"/>
      <c r="Q113" s="61"/>
      <c r="R113" s="60"/>
      <c r="S113" s="31"/>
      <c r="T113" s="61"/>
      <c r="U113" s="60"/>
      <c r="V113" s="31"/>
      <c r="W113" s="61"/>
      <c r="X113" s="60"/>
      <c r="Y113" s="31"/>
      <c r="Z113" s="61"/>
      <c r="AA113" s="60"/>
      <c r="AB113" s="31"/>
      <c r="AC113" s="61"/>
      <c r="AD113" s="60"/>
      <c r="AE113" s="31"/>
      <c r="AF113" s="61"/>
      <c r="AG113" s="60"/>
      <c r="AH113" s="31"/>
      <c r="AI113" s="61"/>
      <c r="AJ113" s="60"/>
      <c r="AK113" s="31"/>
      <c r="AL113" s="61"/>
      <c r="AM113" s="60"/>
      <c r="AN113" s="31"/>
      <c r="AO113" s="61"/>
      <c r="AP113" s="60"/>
      <c r="AQ113" s="31"/>
      <c r="AR113" s="61"/>
      <c r="AS113" s="60"/>
      <c r="AT113" s="31"/>
      <c r="AU113" s="61"/>
      <c r="AV113" s="60"/>
      <c r="AW113" s="31"/>
      <c r="AX113" s="61"/>
    </row>
    <row r="114" ht="39.75" customHeight="1">
      <c r="A114" s="63"/>
      <c r="B114" s="68"/>
      <c r="C114" s="105" t="str">
        <f>VLOOKUP(D114,[1]Saldo!A113:B31386,2,0)</f>
        <v>#ERROR!</v>
      </c>
      <c r="D114" s="68" t="s">
        <v>769</v>
      </c>
      <c r="E114" s="68" t="s">
        <v>680</v>
      </c>
      <c r="F114" s="149">
        <v>2.0</v>
      </c>
      <c r="G114" s="68">
        <v>2000.0</v>
      </c>
      <c r="H114" s="150">
        <f>'PAINEL DE CONTROLE'!$G$5</f>
        <v>28359</v>
      </c>
      <c r="I114" s="150">
        <v>24649.0</v>
      </c>
      <c r="J114" s="150">
        <f t="shared" si="3"/>
        <v>26649</v>
      </c>
      <c r="K114" s="151">
        <f t="shared" si="4"/>
        <v>-1710</v>
      </c>
      <c r="L114" s="60"/>
      <c r="M114" s="31"/>
      <c r="N114" s="61"/>
      <c r="O114" s="60"/>
      <c r="P114" s="31"/>
      <c r="Q114" s="61"/>
      <c r="R114" s="60"/>
      <c r="S114" s="31"/>
      <c r="T114" s="61"/>
      <c r="U114" s="60"/>
      <c r="V114" s="31"/>
      <c r="W114" s="61"/>
      <c r="X114" s="60"/>
      <c r="Y114" s="31"/>
      <c r="Z114" s="61"/>
      <c r="AA114" s="60"/>
      <c r="AB114" s="31"/>
      <c r="AC114" s="61"/>
      <c r="AD114" s="60"/>
      <c r="AE114" s="31"/>
      <c r="AF114" s="61"/>
      <c r="AG114" s="60"/>
      <c r="AH114" s="31"/>
      <c r="AI114" s="61"/>
      <c r="AJ114" s="60"/>
      <c r="AK114" s="31"/>
      <c r="AL114" s="61"/>
      <c r="AM114" s="60"/>
      <c r="AN114" s="31"/>
      <c r="AO114" s="61"/>
      <c r="AP114" s="60"/>
      <c r="AQ114" s="31"/>
      <c r="AR114" s="61"/>
      <c r="AS114" s="60"/>
      <c r="AT114" s="31"/>
      <c r="AU114" s="61"/>
      <c r="AV114" s="60"/>
      <c r="AW114" s="31"/>
      <c r="AX114" s="61"/>
    </row>
    <row r="115" ht="39.75" customHeight="1">
      <c r="A115" s="158" t="s">
        <v>54</v>
      </c>
      <c r="B115" s="68"/>
      <c r="C115" s="105" t="str">
        <f>VLOOKUP(D115,[1]Saldo!A114:B31387,2,0)</f>
        <v>#ERROR!</v>
      </c>
      <c r="D115" s="68" t="s">
        <v>770</v>
      </c>
      <c r="E115" s="68" t="s">
        <v>680</v>
      </c>
      <c r="F115" s="149">
        <v>2.0</v>
      </c>
      <c r="G115" s="68">
        <v>2000.0</v>
      </c>
      <c r="H115" s="150">
        <f>'PAINEL DE CONTROLE'!$G$5</f>
        <v>28359</v>
      </c>
      <c r="I115" s="150">
        <v>24649.0</v>
      </c>
      <c r="J115" s="150">
        <f t="shared" si="3"/>
        <v>26649</v>
      </c>
      <c r="K115" s="151">
        <f t="shared" si="4"/>
        <v>-1710</v>
      </c>
      <c r="L115" s="60"/>
      <c r="M115" s="31"/>
      <c r="N115" s="61"/>
      <c r="O115" s="60"/>
      <c r="P115" s="31"/>
      <c r="Q115" s="61"/>
      <c r="R115" s="60"/>
      <c r="S115" s="31"/>
      <c r="T115" s="61"/>
      <c r="U115" s="60"/>
      <c r="V115" s="31"/>
      <c r="W115" s="61"/>
      <c r="X115" s="60"/>
      <c r="Y115" s="31"/>
      <c r="Z115" s="61"/>
      <c r="AA115" s="60"/>
      <c r="AB115" s="31"/>
      <c r="AC115" s="61"/>
      <c r="AD115" s="60"/>
      <c r="AE115" s="31"/>
      <c r="AF115" s="61"/>
      <c r="AG115" s="60"/>
      <c r="AH115" s="31"/>
      <c r="AI115" s="61"/>
      <c r="AJ115" s="60"/>
      <c r="AK115" s="31"/>
      <c r="AL115" s="61"/>
      <c r="AM115" s="60"/>
      <c r="AN115" s="31"/>
      <c r="AO115" s="61"/>
      <c r="AP115" s="60"/>
      <c r="AQ115" s="31"/>
      <c r="AR115" s="61"/>
      <c r="AS115" s="60"/>
      <c r="AT115" s="31"/>
      <c r="AU115" s="61"/>
      <c r="AV115" s="60"/>
      <c r="AW115" s="31"/>
      <c r="AX115" s="61"/>
    </row>
    <row r="116" ht="39.75" customHeight="1">
      <c r="A116" s="62"/>
      <c r="B116" s="68"/>
      <c r="C116" s="105" t="str">
        <f>VLOOKUP(D116,[1]Saldo!A115:B31388,2,0)</f>
        <v>#ERROR!</v>
      </c>
      <c r="D116" s="68" t="s">
        <v>771</v>
      </c>
      <c r="E116" s="68" t="s">
        <v>772</v>
      </c>
      <c r="F116" s="149">
        <v>1.0</v>
      </c>
      <c r="G116" s="68">
        <v>2000.0</v>
      </c>
      <c r="H116" s="150">
        <f>'PAINEL DE CONTROLE'!$G$5</f>
        <v>28359</v>
      </c>
      <c r="I116" s="150">
        <v>24649.0</v>
      </c>
      <c r="J116" s="150">
        <f t="shared" si="3"/>
        <v>26649</v>
      </c>
      <c r="K116" s="151">
        <f t="shared" si="4"/>
        <v>-1710</v>
      </c>
      <c r="L116" s="60"/>
      <c r="M116" s="31"/>
      <c r="N116" s="61"/>
      <c r="O116" s="60"/>
      <c r="P116" s="31"/>
      <c r="Q116" s="61"/>
      <c r="R116" s="60"/>
      <c r="S116" s="31"/>
      <c r="T116" s="61"/>
      <c r="U116" s="60"/>
      <c r="V116" s="31"/>
      <c r="W116" s="61"/>
      <c r="X116" s="60"/>
      <c r="Y116" s="31"/>
      <c r="Z116" s="61"/>
      <c r="AA116" s="60"/>
      <c r="AB116" s="31"/>
      <c r="AC116" s="61"/>
      <c r="AD116" s="60"/>
      <c r="AE116" s="31"/>
      <c r="AF116" s="61"/>
      <c r="AG116" s="60"/>
      <c r="AH116" s="31"/>
      <c r="AI116" s="61"/>
      <c r="AJ116" s="60"/>
      <c r="AK116" s="31"/>
      <c r="AL116" s="61"/>
      <c r="AM116" s="60"/>
      <c r="AN116" s="31"/>
      <c r="AO116" s="61"/>
      <c r="AP116" s="60"/>
      <c r="AQ116" s="31"/>
      <c r="AR116" s="61"/>
      <c r="AS116" s="60"/>
      <c r="AT116" s="31"/>
      <c r="AU116" s="61"/>
      <c r="AV116" s="60"/>
      <c r="AW116" s="31"/>
      <c r="AX116" s="61"/>
    </row>
    <row r="117" ht="39.75" customHeight="1">
      <c r="A117" s="63"/>
      <c r="B117" s="68"/>
      <c r="C117" s="105" t="str">
        <f>VLOOKUP(D117,[1]Saldo!A116:B31389,2,0)</f>
        <v>#ERROR!</v>
      </c>
      <c r="D117" s="68" t="s">
        <v>773</v>
      </c>
      <c r="E117" s="68" t="s">
        <v>680</v>
      </c>
      <c r="F117" s="149">
        <v>2.0</v>
      </c>
      <c r="G117" s="68">
        <v>2000.0</v>
      </c>
      <c r="H117" s="150">
        <f>'PAINEL DE CONTROLE'!$G$5</f>
        <v>28359</v>
      </c>
      <c r="I117" s="150">
        <v>24649.0</v>
      </c>
      <c r="J117" s="150">
        <f t="shared" si="3"/>
        <v>26649</v>
      </c>
      <c r="K117" s="151">
        <f t="shared" si="4"/>
        <v>-1710</v>
      </c>
      <c r="L117" s="60"/>
      <c r="M117" s="31"/>
      <c r="N117" s="61"/>
      <c r="O117" s="60"/>
      <c r="P117" s="31"/>
      <c r="Q117" s="61"/>
      <c r="R117" s="60"/>
      <c r="S117" s="31"/>
      <c r="T117" s="61"/>
      <c r="U117" s="60"/>
      <c r="V117" s="31"/>
      <c r="W117" s="61"/>
      <c r="X117" s="60"/>
      <c r="Y117" s="31"/>
      <c r="Z117" s="61"/>
      <c r="AA117" s="60"/>
      <c r="AB117" s="31"/>
      <c r="AC117" s="61"/>
      <c r="AD117" s="60"/>
      <c r="AE117" s="31"/>
      <c r="AF117" s="61"/>
      <c r="AG117" s="60"/>
      <c r="AH117" s="31"/>
      <c r="AI117" s="61"/>
      <c r="AJ117" s="60"/>
      <c r="AK117" s="31"/>
      <c r="AL117" s="61"/>
      <c r="AM117" s="60"/>
      <c r="AN117" s="31"/>
      <c r="AO117" s="61"/>
      <c r="AP117" s="60"/>
      <c r="AQ117" s="31"/>
      <c r="AR117" s="61"/>
      <c r="AS117" s="60"/>
      <c r="AT117" s="31"/>
      <c r="AU117" s="61"/>
      <c r="AV117" s="60"/>
      <c r="AW117" s="31"/>
      <c r="AX117" s="61"/>
    </row>
    <row r="118" ht="39.75" customHeight="1">
      <c r="A118" s="147" t="s">
        <v>55</v>
      </c>
      <c r="B118" s="156">
        <v>41.0</v>
      </c>
      <c r="C118" s="105" t="s">
        <v>774</v>
      </c>
      <c r="D118" s="68" t="s">
        <v>775</v>
      </c>
      <c r="E118" s="68" t="s">
        <v>776</v>
      </c>
      <c r="F118" s="149">
        <v>1.0</v>
      </c>
      <c r="G118" s="68">
        <v>1000.0</v>
      </c>
      <c r="H118" s="150">
        <f>'PAINEL DE CONTROLE'!$G$5</f>
        <v>28359</v>
      </c>
      <c r="I118" s="150">
        <v>24649.0</v>
      </c>
      <c r="J118" s="150">
        <f t="shared" si="3"/>
        <v>25649</v>
      </c>
      <c r="K118" s="151">
        <f t="shared" si="4"/>
        <v>-2710</v>
      </c>
      <c r="L118" s="60"/>
      <c r="M118" s="31"/>
      <c r="N118" s="61"/>
      <c r="O118" s="60"/>
      <c r="P118" s="31"/>
      <c r="Q118" s="61"/>
      <c r="R118" s="60"/>
      <c r="S118" s="31"/>
      <c r="T118" s="61"/>
      <c r="U118" s="60"/>
      <c r="V118" s="31"/>
      <c r="W118" s="61"/>
      <c r="X118" s="60"/>
      <c r="Y118" s="31"/>
      <c r="Z118" s="61"/>
      <c r="AA118" s="60"/>
      <c r="AB118" s="31"/>
      <c r="AC118" s="61"/>
      <c r="AD118" s="60"/>
      <c r="AE118" s="31"/>
      <c r="AF118" s="61"/>
      <c r="AG118" s="60"/>
      <c r="AH118" s="31"/>
      <c r="AI118" s="61"/>
      <c r="AJ118" s="60"/>
      <c r="AK118" s="31"/>
      <c r="AL118" s="61"/>
      <c r="AM118" s="60"/>
      <c r="AN118" s="31"/>
      <c r="AO118" s="61"/>
      <c r="AP118" s="60"/>
      <c r="AQ118" s="31"/>
      <c r="AR118" s="61"/>
      <c r="AS118" s="60"/>
      <c r="AT118" s="31"/>
      <c r="AU118" s="61"/>
      <c r="AV118" s="60"/>
      <c r="AW118" s="31"/>
      <c r="AX118" s="61"/>
    </row>
    <row r="119" ht="39.75" customHeight="1">
      <c r="A119" s="63"/>
      <c r="B119" s="156">
        <v>41.0</v>
      </c>
      <c r="C119" s="105" t="s">
        <v>777</v>
      </c>
      <c r="D119" s="68" t="s">
        <v>778</v>
      </c>
      <c r="E119" s="68" t="s">
        <v>672</v>
      </c>
      <c r="F119" s="149">
        <v>1.0</v>
      </c>
      <c r="G119" s="68">
        <v>1000.0</v>
      </c>
      <c r="H119" s="150">
        <f>'PAINEL DE CONTROLE'!$G$5</f>
        <v>28359</v>
      </c>
      <c r="I119" s="150">
        <v>24649.0</v>
      </c>
      <c r="J119" s="150">
        <f t="shared" si="3"/>
        <v>25649</v>
      </c>
      <c r="K119" s="151">
        <f t="shared" si="4"/>
        <v>-2710</v>
      </c>
      <c r="L119" s="60"/>
      <c r="M119" s="31"/>
      <c r="N119" s="61"/>
      <c r="O119" s="60"/>
      <c r="P119" s="31"/>
      <c r="Q119" s="61"/>
      <c r="R119" s="60"/>
      <c r="S119" s="31"/>
      <c r="T119" s="61"/>
      <c r="U119" s="60"/>
      <c r="V119" s="31"/>
      <c r="W119" s="61"/>
      <c r="X119" s="60"/>
      <c r="Y119" s="31"/>
      <c r="Z119" s="61"/>
      <c r="AA119" s="60"/>
      <c r="AB119" s="31"/>
      <c r="AC119" s="61"/>
      <c r="AD119" s="60"/>
      <c r="AE119" s="31"/>
      <c r="AF119" s="61"/>
      <c r="AG119" s="60"/>
      <c r="AH119" s="31"/>
      <c r="AI119" s="61"/>
      <c r="AJ119" s="60"/>
      <c r="AK119" s="31"/>
      <c r="AL119" s="61"/>
      <c r="AM119" s="60"/>
      <c r="AN119" s="31"/>
      <c r="AO119" s="61"/>
      <c r="AP119" s="60"/>
      <c r="AQ119" s="31"/>
      <c r="AR119" s="61"/>
      <c r="AS119" s="60"/>
      <c r="AT119" s="31"/>
      <c r="AU119" s="61"/>
      <c r="AV119" s="60"/>
      <c r="AW119" s="31"/>
      <c r="AX119" s="61"/>
    </row>
    <row r="120" ht="39.75" customHeight="1">
      <c r="A120" s="158" t="s">
        <v>56</v>
      </c>
      <c r="B120" s="68"/>
      <c r="C120" s="105" t="str">
        <f>VLOOKUP(D120,[1]Saldo!A119:B31392,2,0)</f>
        <v>#ERROR!</v>
      </c>
      <c r="D120" s="68" t="s">
        <v>779</v>
      </c>
      <c r="E120" s="68" t="s">
        <v>672</v>
      </c>
      <c r="F120" s="149">
        <v>1.0</v>
      </c>
      <c r="G120" s="68">
        <v>5000.0</v>
      </c>
      <c r="H120" s="150">
        <f>'PAINEL DE CONTROLE'!$G$5</f>
        <v>28359</v>
      </c>
      <c r="I120" s="150">
        <v>24649.0</v>
      </c>
      <c r="J120" s="150">
        <f t="shared" si="3"/>
        <v>29649</v>
      </c>
      <c r="K120" s="151">
        <f t="shared" si="4"/>
        <v>1290</v>
      </c>
      <c r="L120" s="60"/>
      <c r="M120" s="31"/>
      <c r="N120" s="61"/>
      <c r="O120" s="60"/>
      <c r="P120" s="31"/>
      <c r="Q120" s="61"/>
      <c r="R120" s="60"/>
      <c r="S120" s="31"/>
      <c r="T120" s="61"/>
      <c r="U120" s="60"/>
      <c r="V120" s="31"/>
      <c r="W120" s="61"/>
      <c r="X120" s="60"/>
      <c r="Y120" s="31"/>
      <c r="Z120" s="61"/>
      <c r="AA120" s="60"/>
      <c r="AB120" s="31"/>
      <c r="AC120" s="61"/>
      <c r="AD120" s="60"/>
      <c r="AE120" s="31"/>
      <c r="AF120" s="61"/>
      <c r="AG120" s="60"/>
      <c r="AH120" s="31"/>
      <c r="AI120" s="61"/>
      <c r="AJ120" s="60"/>
      <c r="AK120" s="31"/>
      <c r="AL120" s="61"/>
      <c r="AM120" s="60"/>
      <c r="AN120" s="31"/>
      <c r="AO120" s="61"/>
      <c r="AP120" s="60"/>
      <c r="AQ120" s="31"/>
      <c r="AR120" s="61"/>
      <c r="AS120" s="60"/>
      <c r="AT120" s="31"/>
      <c r="AU120" s="61"/>
      <c r="AV120" s="60"/>
      <c r="AW120" s="31"/>
      <c r="AX120" s="61"/>
    </row>
    <row r="121" ht="39.75" customHeight="1">
      <c r="A121" s="62"/>
      <c r="B121" s="68"/>
      <c r="C121" s="105" t="str">
        <f>VLOOKUP(D121,[1]Saldo!A120:B31393,2,0)</f>
        <v>#ERROR!</v>
      </c>
      <c r="D121" s="68" t="s">
        <v>780</v>
      </c>
      <c r="E121" s="68" t="s">
        <v>781</v>
      </c>
      <c r="F121" s="149">
        <v>1.0</v>
      </c>
      <c r="G121" s="68">
        <v>5000.0</v>
      </c>
      <c r="H121" s="150">
        <f>'PAINEL DE CONTROLE'!$G$5</f>
        <v>28359</v>
      </c>
      <c r="I121" s="150">
        <v>24649.0</v>
      </c>
      <c r="J121" s="150">
        <f t="shared" si="3"/>
        <v>29649</v>
      </c>
      <c r="K121" s="151">
        <f t="shared" si="4"/>
        <v>1290</v>
      </c>
      <c r="L121" s="60"/>
      <c r="M121" s="31"/>
      <c r="N121" s="61"/>
      <c r="O121" s="60"/>
      <c r="P121" s="31"/>
      <c r="Q121" s="61"/>
      <c r="R121" s="60"/>
      <c r="S121" s="31"/>
      <c r="T121" s="61"/>
      <c r="U121" s="60"/>
      <c r="V121" s="31"/>
      <c r="W121" s="61"/>
      <c r="X121" s="60"/>
      <c r="Y121" s="31"/>
      <c r="Z121" s="61"/>
      <c r="AA121" s="60"/>
      <c r="AB121" s="31"/>
      <c r="AC121" s="61"/>
      <c r="AD121" s="60"/>
      <c r="AE121" s="31"/>
      <c r="AF121" s="61"/>
      <c r="AG121" s="60"/>
      <c r="AH121" s="31"/>
      <c r="AI121" s="61"/>
      <c r="AJ121" s="60"/>
      <c r="AK121" s="31"/>
      <c r="AL121" s="61"/>
      <c r="AM121" s="60"/>
      <c r="AN121" s="31"/>
      <c r="AO121" s="61"/>
      <c r="AP121" s="60"/>
      <c r="AQ121" s="31"/>
      <c r="AR121" s="61"/>
      <c r="AS121" s="60"/>
      <c r="AT121" s="31"/>
      <c r="AU121" s="61"/>
      <c r="AV121" s="60"/>
      <c r="AW121" s="31"/>
      <c r="AX121" s="61"/>
    </row>
    <row r="122" ht="39.75" customHeight="1">
      <c r="A122" s="62"/>
      <c r="B122" s="68"/>
      <c r="C122" s="105" t="str">
        <f>VLOOKUP(D122,[1]Saldo!A121:B31394,2,0)</f>
        <v>#ERROR!</v>
      </c>
      <c r="D122" s="68" t="s">
        <v>639</v>
      </c>
      <c r="E122" s="68" t="s">
        <v>624</v>
      </c>
      <c r="F122" s="149">
        <v>2.0</v>
      </c>
      <c r="G122" s="68">
        <v>5000.0</v>
      </c>
      <c r="H122" s="150">
        <f>'PAINEL DE CONTROLE'!$G$5</f>
        <v>28359</v>
      </c>
      <c r="I122" s="150">
        <v>24649.0</v>
      </c>
      <c r="J122" s="150">
        <f t="shared" si="3"/>
        <v>29649</v>
      </c>
      <c r="K122" s="151">
        <f t="shared" si="4"/>
        <v>1290</v>
      </c>
      <c r="L122" s="60"/>
      <c r="M122" s="31"/>
      <c r="N122" s="61"/>
      <c r="O122" s="60"/>
      <c r="P122" s="31"/>
      <c r="Q122" s="61"/>
      <c r="R122" s="60"/>
      <c r="S122" s="31"/>
      <c r="T122" s="61"/>
      <c r="U122" s="60"/>
      <c r="V122" s="31"/>
      <c r="W122" s="61"/>
      <c r="X122" s="60"/>
      <c r="Y122" s="31"/>
      <c r="Z122" s="61"/>
      <c r="AA122" s="60"/>
      <c r="AB122" s="31"/>
      <c r="AC122" s="61"/>
      <c r="AD122" s="60"/>
      <c r="AE122" s="31"/>
      <c r="AF122" s="61"/>
      <c r="AG122" s="60"/>
      <c r="AH122" s="31"/>
      <c r="AI122" s="61"/>
      <c r="AJ122" s="60"/>
      <c r="AK122" s="31"/>
      <c r="AL122" s="61"/>
      <c r="AM122" s="60"/>
      <c r="AN122" s="31"/>
      <c r="AO122" s="61"/>
      <c r="AP122" s="60"/>
      <c r="AQ122" s="31"/>
      <c r="AR122" s="61"/>
      <c r="AS122" s="60"/>
      <c r="AT122" s="31"/>
      <c r="AU122" s="61"/>
      <c r="AV122" s="60"/>
      <c r="AW122" s="31"/>
      <c r="AX122" s="61"/>
    </row>
    <row r="123" ht="39.75" customHeight="1">
      <c r="A123" s="62"/>
      <c r="B123" s="68"/>
      <c r="C123" s="105" t="str">
        <f>VLOOKUP(D123,[1]Saldo!A122:B31395,2,0)</f>
        <v>#ERROR!</v>
      </c>
      <c r="D123" s="68" t="s">
        <v>782</v>
      </c>
      <c r="E123" s="68" t="s">
        <v>624</v>
      </c>
      <c r="F123" s="149">
        <v>1.0</v>
      </c>
      <c r="G123" s="68">
        <v>5000.0</v>
      </c>
      <c r="H123" s="150">
        <f>'PAINEL DE CONTROLE'!$G$5</f>
        <v>28359</v>
      </c>
      <c r="I123" s="150">
        <v>24649.0</v>
      </c>
      <c r="J123" s="150">
        <f t="shared" si="3"/>
        <v>29649</v>
      </c>
      <c r="K123" s="151">
        <f t="shared" si="4"/>
        <v>1290</v>
      </c>
      <c r="L123" s="60"/>
      <c r="M123" s="31"/>
      <c r="N123" s="61"/>
      <c r="O123" s="60"/>
      <c r="P123" s="31"/>
      <c r="Q123" s="61"/>
      <c r="R123" s="60"/>
      <c r="S123" s="31"/>
      <c r="T123" s="61"/>
      <c r="U123" s="60"/>
      <c r="V123" s="31"/>
      <c r="W123" s="61"/>
      <c r="X123" s="60"/>
      <c r="Y123" s="31"/>
      <c r="Z123" s="61"/>
      <c r="AA123" s="60"/>
      <c r="AB123" s="31"/>
      <c r="AC123" s="61"/>
      <c r="AD123" s="60"/>
      <c r="AE123" s="31"/>
      <c r="AF123" s="61"/>
      <c r="AG123" s="60"/>
      <c r="AH123" s="31"/>
      <c r="AI123" s="61"/>
      <c r="AJ123" s="60"/>
      <c r="AK123" s="31"/>
      <c r="AL123" s="61"/>
      <c r="AM123" s="60"/>
      <c r="AN123" s="31"/>
      <c r="AO123" s="61"/>
      <c r="AP123" s="60"/>
      <c r="AQ123" s="31"/>
      <c r="AR123" s="61"/>
      <c r="AS123" s="60"/>
      <c r="AT123" s="31"/>
      <c r="AU123" s="61"/>
      <c r="AV123" s="60"/>
      <c r="AW123" s="31"/>
      <c r="AX123" s="61"/>
    </row>
    <row r="124" ht="39.75" customHeight="1">
      <c r="A124" s="62"/>
      <c r="B124" s="68"/>
      <c r="C124" s="105" t="str">
        <f>VLOOKUP(D124,[1]Saldo!A123:B31396,2,0)</f>
        <v>#ERROR!</v>
      </c>
      <c r="D124" s="68" t="s">
        <v>783</v>
      </c>
      <c r="E124" s="68" t="s">
        <v>634</v>
      </c>
      <c r="F124" s="149">
        <v>1.0</v>
      </c>
      <c r="G124" s="68">
        <v>5000.0</v>
      </c>
      <c r="H124" s="150">
        <f>'PAINEL DE CONTROLE'!$G$5</f>
        <v>28359</v>
      </c>
      <c r="I124" s="150">
        <v>24649.0</v>
      </c>
      <c r="J124" s="150">
        <f t="shared" si="3"/>
        <v>29649</v>
      </c>
      <c r="K124" s="151">
        <f t="shared" si="4"/>
        <v>1290</v>
      </c>
      <c r="L124" s="60"/>
      <c r="M124" s="31"/>
      <c r="N124" s="61"/>
      <c r="O124" s="60"/>
      <c r="P124" s="31"/>
      <c r="Q124" s="61"/>
      <c r="R124" s="60"/>
      <c r="S124" s="31"/>
      <c r="T124" s="61"/>
      <c r="U124" s="60"/>
      <c r="V124" s="31"/>
      <c r="W124" s="61"/>
      <c r="X124" s="60"/>
      <c r="Y124" s="31"/>
      <c r="Z124" s="61"/>
      <c r="AA124" s="60"/>
      <c r="AB124" s="31"/>
      <c r="AC124" s="61"/>
      <c r="AD124" s="60"/>
      <c r="AE124" s="31"/>
      <c r="AF124" s="61"/>
      <c r="AG124" s="60"/>
      <c r="AH124" s="31"/>
      <c r="AI124" s="61"/>
      <c r="AJ124" s="60"/>
      <c r="AK124" s="31"/>
      <c r="AL124" s="61"/>
      <c r="AM124" s="60"/>
      <c r="AN124" s="31"/>
      <c r="AO124" s="61"/>
      <c r="AP124" s="60"/>
      <c r="AQ124" s="31"/>
      <c r="AR124" s="61"/>
      <c r="AS124" s="60"/>
      <c r="AT124" s="31"/>
      <c r="AU124" s="61"/>
      <c r="AV124" s="60"/>
      <c r="AW124" s="31"/>
      <c r="AX124" s="61"/>
    </row>
    <row r="125" ht="39.75" customHeight="1">
      <c r="A125" s="62"/>
      <c r="B125" s="68"/>
      <c r="C125" s="105" t="str">
        <f>VLOOKUP(D125,[1]Saldo!A124:B31397,2,0)</f>
        <v>#ERROR!</v>
      </c>
      <c r="D125" s="68" t="s">
        <v>649</v>
      </c>
      <c r="E125" s="68" t="s">
        <v>672</v>
      </c>
      <c r="F125" s="149">
        <v>1.0</v>
      </c>
      <c r="G125" s="68">
        <v>5000.0</v>
      </c>
      <c r="H125" s="150">
        <f>'PAINEL DE CONTROLE'!$G$5</f>
        <v>28359</v>
      </c>
      <c r="I125" s="150">
        <v>24649.0</v>
      </c>
      <c r="J125" s="150">
        <f t="shared" si="3"/>
        <v>29649</v>
      </c>
      <c r="K125" s="151">
        <f t="shared" si="4"/>
        <v>1290</v>
      </c>
      <c r="L125" s="60"/>
      <c r="M125" s="31"/>
      <c r="N125" s="61"/>
      <c r="O125" s="60"/>
      <c r="P125" s="31"/>
      <c r="Q125" s="61"/>
      <c r="R125" s="60"/>
      <c r="S125" s="31"/>
      <c r="T125" s="61"/>
      <c r="U125" s="60"/>
      <c r="V125" s="31"/>
      <c r="W125" s="61"/>
      <c r="X125" s="60"/>
      <c r="Y125" s="31"/>
      <c r="Z125" s="61"/>
      <c r="AA125" s="60"/>
      <c r="AB125" s="31"/>
      <c r="AC125" s="61"/>
      <c r="AD125" s="60"/>
      <c r="AE125" s="31"/>
      <c r="AF125" s="61"/>
      <c r="AG125" s="60"/>
      <c r="AH125" s="31"/>
      <c r="AI125" s="61"/>
      <c r="AJ125" s="60"/>
      <c r="AK125" s="31"/>
      <c r="AL125" s="61"/>
      <c r="AM125" s="60"/>
      <c r="AN125" s="31"/>
      <c r="AO125" s="61"/>
      <c r="AP125" s="60"/>
      <c r="AQ125" s="31"/>
      <c r="AR125" s="61"/>
      <c r="AS125" s="60"/>
      <c r="AT125" s="31"/>
      <c r="AU125" s="61"/>
      <c r="AV125" s="60"/>
      <c r="AW125" s="31"/>
      <c r="AX125" s="61"/>
    </row>
    <row r="126" ht="39.75" customHeight="1">
      <c r="A126" s="62"/>
      <c r="B126" s="68"/>
      <c r="C126" s="105" t="str">
        <f>VLOOKUP(D126,[1]Saldo!A125:B31398,2,0)</f>
        <v>#ERROR!</v>
      </c>
      <c r="D126" s="68" t="s">
        <v>784</v>
      </c>
      <c r="E126" s="68" t="s">
        <v>785</v>
      </c>
      <c r="F126" s="149">
        <v>6.0</v>
      </c>
      <c r="G126" s="68">
        <v>5000.0</v>
      </c>
      <c r="H126" s="150">
        <f>'PAINEL DE CONTROLE'!$G$5</f>
        <v>28359</v>
      </c>
      <c r="I126" s="150">
        <v>24649.0</v>
      </c>
      <c r="J126" s="150">
        <f t="shared" si="3"/>
        <v>29649</v>
      </c>
      <c r="K126" s="151">
        <f t="shared" si="4"/>
        <v>1290</v>
      </c>
      <c r="L126" s="60"/>
      <c r="M126" s="31"/>
      <c r="N126" s="61"/>
      <c r="O126" s="60"/>
      <c r="P126" s="31"/>
      <c r="Q126" s="61"/>
      <c r="R126" s="60"/>
      <c r="S126" s="31"/>
      <c r="T126" s="61"/>
      <c r="U126" s="60"/>
      <c r="V126" s="31"/>
      <c r="W126" s="61"/>
      <c r="X126" s="60"/>
      <c r="Y126" s="31"/>
      <c r="Z126" s="61"/>
      <c r="AA126" s="60"/>
      <c r="AB126" s="31"/>
      <c r="AC126" s="61"/>
      <c r="AD126" s="60"/>
      <c r="AE126" s="31"/>
      <c r="AF126" s="61"/>
      <c r="AG126" s="60"/>
      <c r="AH126" s="31"/>
      <c r="AI126" s="61"/>
      <c r="AJ126" s="60"/>
      <c r="AK126" s="31"/>
      <c r="AL126" s="61"/>
      <c r="AM126" s="60"/>
      <c r="AN126" s="31"/>
      <c r="AO126" s="61"/>
      <c r="AP126" s="60"/>
      <c r="AQ126" s="31"/>
      <c r="AR126" s="61"/>
      <c r="AS126" s="60"/>
      <c r="AT126" s="31"/>
      <c r="AU126" s="61"/>
      <c r="AV126" s="60"/>
      <c r="AW126" s="31"/>
      <c r="AX126" s="61"/>
    </row>
    <row r="127" ht="39.75" customHeight="1">
      <c r="A127" s="62"/>
      <c r="B127" s="68"/>
      <c r="C127" s="105" t="str">
        <f>VLOOKUP(D127,[1]Saldo!A126:B31399,2,0)</f>
        <v>#ERROR!</v>
      </c>
      <c r="D127" s="68" t="s">
        <v>786</v>
      </c>
      <c r="E127" s="68" t="s">
        <v>787</v>
      </c>
      <c r="F127" s="149">
        <v>2.0</v>
      </c>
      <c r="G127" s="68">
        <v>5000.0</v>
      </c>
      <c r="H127" s="150">
        <f>'PAINEL DE CONTROLE'!$G$5</f>
        <v>28359</v>
      </c>
      <c r="I127" s="150">
        <v>24649.0</v>
      </c>
      <c r="J127" s="150">
        <f t="shared" si="3"/>
        <v>29649</v>
      </c>
      <c r="K127" s="151">
        <f t="shared" si="4"/>
        <v>1290</v>
      </c>
      <c r="L127" s="60"/>
      <c r="M127" s="31"/>
      <c r="N127" s="61"/>
      <c r="O127" s="60"/>
      <c r="P127" s="31"/>
      <c r="Q127" s="61"/>
      <c r="R127" s="60"/>
      <c r="S127" s="31"/>
      <c r="T127" s="61"/>
      <c r="U127" s="60"/>
      <c r="V127" s="31"/>
      <c r="W127" s="61"/>
      <c r="X127" s="60"/>
      <c r="Y127" s="31"/>
      <c r="Z127" s="61"/>
      <c r="AA127" s="60"/>
      <c r="AB127" s="31"/>
      <c r="AC127" s="61"/>
      <c r="AD127" s="60"/>
      <c r="AE127" s="31"/>
      <c r="AF127" s="61"/>
      <c r="AG127" s="60"/>
      <c r="AH127" s="31"/>
      <c r="AI127" s="61"/>
      <c r="AJ127" s="60"/>
      <c r="AK127" s="31"/>
      <c r="AL127" s="61"/>
      <c r="AM127" s="60"/>
      <c r="AN127" s="31"/>
      <c r="AO127" s="61"/>
      <c r="AP127" s="60"/>
      <c r="AQ127" s="31"/>
      <c r="AR127" s="61"/>
      <c r="AS127" s="60"/>
      <c r="AT127" s="31"/>
      <c r="AU127" s="61"/>
      <c r="AV127" s="60"/>
      <c r="AW127" s="31"/>
      <c r="AX127" s="61"/>
    </row>
    <row r="128" ht="39.75" customHeight="1">
      <c r="A128" s="62"/>
      <c r="B128" s="68"/>
      <c r="C128" s="105" t="str">
        <f>VLOOKUP(D128,[1]Saldo!A127:B31400,2,0)</f>
        <v>#ERROR!</v>
      </c>
      <c r="D128" s="68" t="s">
        <v>788</v>
      </c>
      <c r="E128" s="68" t="s">
        <v>785</v>
      </c>
      <c r="F128" s="149">
        <v>2.0</v>
      </c>
      <c r="G128" s="68">
        <v>5000.0</v>
      </c>
      <c r="H128" s="150">
        <f>'PAINEL DE CONTROLE'!$G$5</f>
        <v>28359</v>
      </c>
      <c r="I128" s="150">
        <v>24649.0</v>
      </c>
      <c r="J128" s="150">
        <f t="shared" si="3"/>
        <v>29649</v>
      </c>
      <c r="K128" s="151">
        <f t="shared" si="4"/>
        <v>1290</v>
      </c>
      <c r="L128" s="60"/>
      <c r="M128" s="31"/>
      <c r="N128" s="61"/>
      <c r="O128" s="60"/>
      <c r="P128" s="31"/>
      <c r="Q128" s="61"/>
      <c r="R128" s="60"/>
      <c r="S128" s="31"/>
      <c r="T128" s="61"/>
      <c r="U128" s="60"/>
      <c r="V128" s="31"/>
      <c r="W128" s="61"/>
      <c r="X128" s="60"/>
      <c r="Y128" s="31"/>
      <c r="Z128" s="61"/>
      <c r="AA128" s="60"/>
      <c r="AB128" s="31"/>
      <c r="AC128" s="61"/>
      <c r="AD128" s="60"/>
      <c r="AE128" s="31"/>
      <c r="AF128" s="61"/>
      <c r="AG128" s="60"/>
      <c r="AH128" s="31"/>
      <c r="AI128" s="61"/>
      <c r="AJ128" s="60"/>
      <c r="AK128" s="31"/>
      <c r="AL128" s="61"/>
      <c r="AM128" s="60"/>
      <c r="AN128" s="31"/>
      <c r="AO128" s="61"/>
      <c r="AP128" s="60"/>
      <c r="AQ128" s="31"/>
      <c r="AR128" s="61"/>
      <c r="AS128" s="60"/>
      <c r="AT128" s="31"/>
      <c r="AU128" s="61"/>
      <c r="AV128" s="60"/>
      <c r="AW128" s="31"/>
      <c r="AX128" s="61"/>
    </row>
    <row r="129" ht="39.75" customHeight="1">
      <c r="A129" s="62"/>
      <c r="B129" s="68"/>
      <c r="C129" s="105" t="str">
        <f>VLOOKUP(D129,[1]Saldo!A128:B31401,2,0)</f>
        <v>#ERROR!</v>
      </c>
      <c r="D129" s="68" t="s">
        <v>789</v>
      </c>
      <c r="E129" s="68" t="s">
        <v>742</v>
      </c>
      <c r="F129" s="149">
        <v>16.0</v>
      </c>
      <c r="G129" s="68">
        <v>5000.0</v>
      </c>
      <c r="H129" s="150">
        <f>'PAINEL DE CONTROLE'!$G$5</f>
        <v>28359</v>
      </c>
      <c r="I129" s="150">
        <v>24649.0</v>
      </c>
      <c r="J129" s="150">
        <f t="shared" si="3"/>
        <v>29649</v>
      </c>
      <c r="K129" s="151">
        <f t="shared" si="4"/>
        <v>1290</v>
      </c>
      <c r="L129" s="60"/>
      <c r="M129" s="31"/>
      <c r="N129" s="61"/>
      <c r="O129" s="60"/>
      <c r="P129" s="31"/>
      <c r="Q129" s="61"/>
      <c r="R129" s="60"/>
      <c r="S129" s="31"/>
      <c r="T129" s="61"/>
      <c r="U129" s="60"/>
      <c r="V129" s="31"/>
      <c r="W129" s="61"/>
      <c r="X129" s="60"/>
      <c r="Y129" s="31"/>
      <c r="Z129" s="61"/>
      <c r="AA129" s="60"/>
      <c r="AB129" s="31"/>
      <c r="AC129" s="61"/>
      <c r="AD129" s="60"/>
      <c r="AE129" s="31"/>
      <c r="AF129" s="61"/>
      <c r="AG129" s="60"/>
      <c r="AH129" s="31"/>
      <c r="AI129" s="61"/>
      <c r="AJ129" s="60"/>
      <c r="AK129" s="31"/>
      <c r="AL129" s="61"/>
      <c r="AM129" s="60"/>
      <c r="AN129" s="31"/>
      <c r="AO129" s="61"/>
      <c r="AP129" s="60"/>
      <c r="AQ129" s="31"/>
      <c r="AR129" s="61"/>
      <c r="AS129" s="60"/>
      <c r="AT129" s="31"/>
      <c r="AU129" s="61"/>
      <c r="AV129" s="60"/>
      <c r="AW129" s="31"/>
      <c r="AX129" s="61"/>
    </row>
    <row r="130" ht="39.75" customHeight="1">
      <c r="A130" s="62"/>
      <c r="B130" s="68"/>
      <c r="C130" s="105" t="str">
        <f>VLOOKUP(D130,[1]Saldo!A129:B31402,2,0)</f>
        <v>#ERROR!</v>
      </c>
      <c r="D130" s="68" t="s">
        <v>790</v>
      </c>
      <c r="E130" s="68" t="s">
        <v>791</v>
      </c>
      <c r="F130" s="149">
        <v>4.0</v>
      </c>
      <c r="G130" s="68">
        <v>5000.0</v>
      </c>
      <c r="H130" s="150">
        <f>'PAINEL DE CONTROLE'!$G$5</f>
        <v>28359</v>
      </c>
      <c r="I130" s="150">
        <v>24649.0</v>
      </c>
      <c r="J130" s="150">
        <f t="shared" si="3"/>
        <v>29649</v>
      </c>
      <c r="K130" s="151">
        <f t="shared" si="4"/>
        <v>1290</v>
      </c>
      <c r="L130" s="60"/>
      <c r="M130" s="31"/>
      <c r="N130" s="61"/>
      <c r="O130" s="60"/>
      <c r="P130" s="31"/>
      <c r="Q130" s="61"/>
      <c r="R130" s="60"/>
      <c r="S130" s="31"/>
      <c r="T130" s="61"/>
      <c r="U130" s="60"/>
      <c r="V130" s="31"/>
      <c r="W130" s="61"/>
      <c r="X130" s="60"/>
      <c r="Y130" s="31"/>
      <c r="Z130" s="61"/>
      <c r="AA130" s="60"/>
      <c r="AB130" s="31"/>
      <c r="AC130" s="61"/>
      <c r="AD130" s="60"/>
      <c r="AE130" s="31"/>
      <c r="AF130" s="61"/>
      <c r="AG130" s="60"/>
      <c r="AH130" s="31"/>
      <c r="AI130" s="61"/>
      <c r="AJ130" s="60"/>
      <c r="AK130" s="31"/>
      <c r="AL130" s="61"/>
      <c r="AM130" s="60"/>
      <c r="AN130" s="31"/>
      <c r="AO130" s="61"/>
      <c r="AP130" s="60"/>
      <c r="AQ130" s="31"/>
      <c r="AR130" s="61"/>
      <c r="AS130" s="60"/>
      <c r="AT130" s="31"/>
      <c r="AU130" s="61"/>
      <c r="AV130" s="60"/>
      <c r="AW130" s="31"/>
      <c r="AX130" s="61"/>
    </row>
    <row r="131" ht="39.75" customHeight="1">
      <c r="A131" s="62"/>
      <c r="B131" s="68"/>
      <c r="C131" s="105" t="str">
        <f>VLOOKUP(D131,[1]Saldo!A130:B31403,2,0)</f>
        <v>#ERROR!</v>
      </c>
      <c r="D131" s="68" t="s">
        <v>792</v>
      </c>
      <c r="E131" s="68" t="s">
        <v>686</v>
      </c>
      <c r="F131" s="149">
        <v>2.0</v>
      </c>
      <c r="G131" s="68">
        <v>5000.0</v>
      </c>
      <c r="H131" s="150">
        <f>'PAINEL DE CONTROLE'!$G$5</f>
        <v>28359</v>
      </c>
      <c r="I131" s="150">
        <v>24649.0</v>
      </c>
      <c r="J131" s="150">
        <f t="shared" si="3"/>
        <v>29649</v>
      </c>
      <c r="K131" s="151">
        <f t="shared" si="4"/>
        <v>1290</v>
      </c>
      <c r="L131" s="60"/>
      <c r="M131" s="31"/>
      <c r="N131" s="61"/>
      <c r="O131" s="60"/>
      <c r="P131" s="31"/>
      <c r="Q131" s="61"/>
      <c r="R131" s="60"/>
      <c r="S131" s="31"/>
      <c r="T131" s="61"/>
      <c r="U131" s="60"/>
      <c r="V131" s="31"/>
      <c r="W131" s="61"/>
      <c r="X131" s="60"/>
      <c r="Y131" s="31"/>
      <c r="Z131" s="61"/>
      <c r="AA131" s="60"/>
      <c r="AB131" s="31"/>
      <c r="AC131" s="61"/>
      <c r="AD131" s="60"/>
      <c r="AE131" s="31"/>
      <c r="AF131" s="61"/>
      <c r="AG131" s="60"/>
      <c r="AH131" s="31"/>
      <c r="AI131" s="61"/>
      <c r="AJ131" s="60"/>
      <c r="AK131" s="31"/>
      <c r="AL131" s="61"/>
      <c r="AM131" s="60"/>
      <c r="AN131" s="31"/>
      <c r="AO131" s="61"/>
      <c r="AP131" s="60"/>
      <c r="AQ131" s="31"/>
      <c r="AR131" s="61"/>
      <c r="AS131" s="60"/>
      <c r="AT131" s="31"/>
      <c r="AU131" s="61"/>
      <c r="AV131" s="60"/>
      <c r="AW131" s="31"/>
      <c r="AX131" s="61"/>
    </row>
    <row r="132" ht="39.75" customHeight="1">
      <c r="A132" s="62"/>
      <c r="B132" s="68"/>
      <c r="C132" s="105" t="str">
        <f>VLOOKUP(D132,[1]Saldo!A131:B31404,2,0)</f>
        <v>#ERROR!</v>
      </c>
      <c r="D132" s="68" t="s">
        <v>793</v>
      </c>
      <c r="E132" s="68" t="s">
        <v>787</v>
      </c>
      <c r="F132" s="149">
        <v>1.0</v>
      </c>
      <c r="G132" s="68">
        <v>5000.0</v>
      </c>
      <c r="H132" s="150">
        <f>'PAINEL DE CONTROLE'!$G$5</f>
        <v>28359</v>
      </c>
      <c r="I132" s="150">
        <v>24649.0</v>
      </c>
      <c r="J132" s="150">
        <f t="shared" si="3"/>
        <v>29649</v>
      </c>
      <c r="K132" s="151">
        <f t="shared" si="4"/>
        <v>1290</v>
      </c>
      <c r="L132" s="60"/>
      <c r="M132" s="31"/>
      <c r="N132" s="61"/>
      <c r="O132" s="60"/>
      <c r="P132" s="31"/>
      <c r="Q132" s="61"/>
      <c r="R132" s="60"/>
      <c r="S132" s="31"/>
      <c r="T132" s="61"/>
      <c r="U132" s="60"/>
      <c r="V132" s="31"/>
      <c r="W132" s="61"/>
      <c r="X132" s="60"/>
      <c r="Y132" s="31"/>
      <c r="Z132" s="61"/>
      <c r="AA132" s="60"/>
      <c r="AB132" s="31"/>
      <c r="AC132" s="61"/>
      <c r="AD132" s="60"/>
      <c r="AE132" s="31"/>
      <c r="AF132" s="61"/>
      <c r="AG132" s="60"/>
      <c r="AH132" s="31"/>
      <c r="AI132" s="61"/>
      <c r="AJ132" s="60"/>
      <c r="AK132" s="31"/>
      <c r="AL132" s="61"/>
      <c r="AM132" s="60"/>
      <c r="AN132" s="31"/>
      <c r="AO132" s="61"/>
      <c r="AP132" s="60"/>
      <c r="AQ132" s="31"/>
      <c r="AR132" s="61"/>
      <c r="AS132" s="60"/>
      <c r="AT132" s="31"/>
      <c r="AU132" s="61"/>
      <c r="AV132" s="60"/>
      <c r="AW132" s="31"/>
      <c r="AX132" s="61"/>
    </row>
    <row r="133" ht="39.75" customHeight="1">
      <c r="A133" s="62"/>
      <c r="B133" s="68"/>
      <c r="C133" s="105" t="str">
        <f>VLOOKUP(D133,[1]Saldo!A132:B31405,2,0)</f>
        <v>#ERROR!</v>
      </c>
      <c r="D133" s="68" t="s">
        <v>794</v>
      </c>
      <c r="E133" s="68" t="s">
        <v>714</v>
      </c>
      <c r="F133" s="149">
        <v>1.0</v>
      </c>
      <c r="G133" s="68">
        <v>5000.0</v>
      </c>
      <c r="H133" s="150">
        <f>'PAINEL DE CONTROLE'!$G$5</f>
        <v>28359</v>
      </c>
      <c r="I133" s="150">
        <v>24649.0</v>
      </c>
      <c r="J133" s="150">
        <f t="shared" si="3"/>
        <v>29649</v>
      </c>
      <c r="K133" s="151">
        <f t="shared" si="4"/>
        <v>1290</v>
      </c>
      <c r="L133" s="60"/>
      <c r="M133" s="31"/>
      <c r="N133" s="61"/>
      <c r="O133" s="60"/>
      <c r="P133" s="31"/>
      <c r="Q133" s="61"/>
      <c r="R133" s="60"/>
      <c r="S133" s="31"/>
      <c r="T133" s="61"/>
      <c r="U133" s="60"/>
      <c r="V133" s="31"/>
      <c r="W133" s="61"/>
      <c r="X133" s="60"/>
      <c r="Y133" s="31"/>
      <c r="Z133" s="61"/>
      <c r="AA133" s="60"/>
      <c r="AB133" s="31"/>
      <c r="AC133" s="61"/>
      <c r="AD133" s="60"/>
      <c r="AE133" s="31"/>
      <c r="AF133" s="61"/>
      <c r="AG133" s="60"/>
      <c r="AH133" s="31"/>
      <c r="AI133" s="61"/>
      <c r="AJ133" s="60"/>
      <c r="AK133" s="31"/>
      <c r="AL133" s="61"/>
      <c r="AM133" s="60"/>
      <c r="AN133" s="31"/>
      <c r="AO133" s="61"/>
      <c r="AP133" s="60"/>
      <c r="AQ133" s="31"/>
      <c r="AR133" s="61"/>
      <c r="AS133" s="60"/>
      <c r="AT133" s="31"/>
      <c r="AU133" s="61"/>
      <c r="AV133" s="60"/>
      <c r="AW133" s="31"/>
      <c r="AX133" s="61"/>
    </row>
    <row r="134" ht="39.75" customHeight="1">
      <c r="A134" s="62"/>
      <c r="B134" s="68"/>
      <c r="C134" s="105" t="str">
        <f>VLOOKUP(D134,[1]Saldo!A133:B31406,2,0)</f>
        <v>#ERROR!</v>
      </c>
      <c r="D134" s="68" t="s">
        <v>795</v>
      </c>
      <c r="E134" s="68" t="s">
        <v>796</v>
      </c>
      <c r="F134" s="149">
        <v>2.0</v>
      </c>
      <c r="G134" s="68">
        <v>5000.0</v>
      </c>
      <c r="H134" s="150">
        <f>'PAINEL DE CONTROLE'!$G$5</f>
        <v>28359</v>
      </c>
      <c r="I134" s="150">
        <v>24649.0</v>
      </c>
      <c r="J134" s="150">
        <f t="shared" si="3"/>
        <v>29649</v>
      </c>
      <c r="K134" s="151">
        <f t="shared" si="4"/>
        <v>1290</v>
      </c>
      <c r="L134" s="60"/>
      <c r="M134" s="31"/>
      <c r="N134" s="61"/>
      <c r="O134" s="60"/>
      <c r="P134" s="31"/>
      <c r="Q134" s="61"/>
      <c r="R134" s="60"/>
      <c r="S134" s="31"/>
      <c r="T134" s="61"/>
      <c r="U134" s="60"/>
      <c r="V134" s="31"/>
      <c r="W134" s="61"/>
      <c r="X134" s="60"/>
      <c r="Y134" s="31"/>
      <c r="Z134" s="61"/>
      <c r="AA134" s="60"/>
      <c r="AB134" s="31"/>
      <c r="AC134" s="61"/>
      <c r="AD134" s="60"/>
      <c r="AE134" s="31"/>
      <c r="AF134" s="61"/>
      <c r="AG134" s="60"/>
      <c r="AH134" s="31"/>
      <c r="AI134" s="61"/>
      <c r="AJ134" s="60"/>
      <c r="AK134" s="31"/>
      <c r="AL134" s="61"/>
      <c r="AM134" s="60"/>
      <c r="AN134" s="31"/>
      <c r="AO134" s="61"/>
      <c r="AP134" s="60"/>
      <c r="AQ134" s="31"/>
      <c r="AR134" s="61"/>
      <c r="AS134" s="60"/>
      <c r="AT134" s="31"/>
      <c r="AU134" s="61"/>
      <c r="AV134" s="60"/>
      <c r="AW134" s="31"/>
      <c r="AX134" s="61"/>
    </row>
    <row r="135" ht="39.75" customHeight="1">
      <c r="A135" s="62"/>
      <c r="B135" s="68"/>
      <c r="C135" s="105" t="str">
        <f>VLOOKUP(D135,[1]Saldo!A134:B31407,2,0)</f>
        <v>#ERROR!</v>
      </c>
      <c r="D135" s="68" t="s">
        <v>665</v>
      </c>
      <c r="E135" s="68" t="s">
        <v>714</v>
      </c>
      <c r="F135" s="149">
        <v>1.0</v>
      </c>
      <c r="G135" s="68">
        <v>5000.0</v>
      </c>
      <c r="H135" s="150">
        <f>'PAINEL DE CONTROLE'!$G$5</f>
        <v>28359</v>
      </c>
      <c r="I135" s="150">
        <v>24649.0</v>
      </c>
      <c r="J135" s="150">
        <f t="shared" si="3"/>
        <v>29649</v>
      </c>
      <c r="K135" s="151">
        <f t="shared" si="4"/>
        <v>1290</v>
      </c>
      <c r="L135" s="60"/>
      <c r="M135" s="31"/>
      <c r="N135" s="61"/>
      <c r="O135" s="60"/>
      <c r="P135" s="31"/>
      <c r="Q135" s="61"/>
      <c r="R135" s="60"/>
      <c r="S135" s="31"/>
      <c r="T135" s="61"/>
      <c r="U135" s="60"/>
      <c r="V135" s="31"/>
      <c r="W135" s="61"/>
      <c r="X135" s="60"/>
      <c r="Y135" s="31"/>
      <c r="Z135" s="61"/>
      <c r="AA135" s="60"/>
      <c r="AB135" s="31"/>
      <c r="AC135" s="61"/>
      <c r="AD135" s="60"/>
      <c r="AE135" s="31"/>
      <c r="AF135" s="61"/>
      <c r="AG135" s="60"/>
      <c r="AH135" s="31"/>
      <c r="AI135" s="61"/>
      <c r="AJ135" s="60"/>
      <c r="AK135" s="31"/>
      <c r="AL135" s="61"/>
      <c r="AM135" s="60"/>
      <c r="AN135" s="31"/>
      <c r="AO135" s="61"/>
      <c r="AP135" s="60"/>
      <c r="AQ135" s="31"/>
      <c r="AR135" s="61"/>
      <c r="AS135" s="60"/>
      <c r="AT135" s="31"/>
      <c r="AU135" s="61"/>
      <c r="AV135" s="60"/>
      <c r="AW135" s="31"/>
      <c r="AX135" s="61"/>
    </row>
    <row r="136" ht="39.75" customHeight="1">
      <c r="A136" s="62"/>
      <c r="B136" s="68"/>
      <c r="C136" s="105" t="str">
        <f>VLOOKUP(D136,[1]Saldo!A135:B31408,2,0)</f>
        <v>#ERROR!</v>
      </c>
      <c r="D136" s="68" t="s">
        <v>797</v>
      </c>
      <c r="E136" s="68" t="s">
        <v>742</v>
      </c>
      <c r="F136" s="149">
        <v>2.0</v>
      </c>
      <c r="G136" s="68">
        <v>5000.0</v>
      </c>
      <c r="H136" s="150">
        <f>'PAINEL DE CONTROLE'!$G$5</f>
        <v>28359</v>
      </c>
      <c r="I136" s="150">
        <v>24649.0</v>
      </c>
      <c r="J136" s="150">
        <f t="shared" si="3"/>
        <v>29649</v>
      </c>
      <c r="K136" s="151">
        <f t="shared" si="4"/>
        <v>1290</v>
      </c>
      <c r="L136" s="60"/>
      <c r="M136" s="31"/>
      <c r="N136" s="61"/>
      <c r="O136" s="60"/>
      <c r="P136" s="31"/>
      <c r="Q136" s="61"/>
      <c r="R136" s="60"/>
      <c r="S136" s="31"/>
      <c r="T136" s="61"/>
      <c r="U136" s="60"/>
      <c r="V136" s="31"/>
      <c r="W136" s="61"/>
      <c r="X136" s="60"/>
      <c r="Y136" s="31"/>
      <c r="Z136" s="61"/>
      <c r="AA136" s="60"/>
      <c r="AB136" s="31"/>
      <c r="AC136" s="61"/>
      <c r="AD136" s="60"/>
      <c r="AE136" s="31"/>
      <c r="AF136" s="61"/>
      <c r="AG136" s="60"/>
      <c r="AH136" s="31"/>
      <c r="AI136" s="61"/>
      <c r="AJ136" s="60"/>
      <c r="AK136" s="31"/>
      <c r="AL136" s="61"/>
      <c r="AM136" s="60"/>
      <c r="AN136" s="31"/>
      <c r="AO136" s="61"/>
      <c r="AP136" s="60"/>
      <c r="AQ136" s="31"/>
      <c r="AR136" s="61"/>
      <c r="AS136" s="60"/>
      <c r="AT136" s="31"/>
      <c r="AU136" s="61"/>
      <c r="AV136" s="60"/>
      <c r="AW136" s="31"/>
      <c r="AX136" s="61"/>
    </row>
    <row r="137" ht="39.75" customHeight="1">
      <c r="A137" s="63"/>
      <c r="B137" s="68"/>
      <c r="C137" s="105" t="str">
        <f>VLOOKUP(D137,[1]Saldo!A136:B31409,2,0)</f>
        <v>#ERROR!</v>
      </c>
      <c r="D137" s="68" t="s">
        <v>798</v>
      </c>
      <c r="E137" s="68" t="s">
        <v>742</v>
      </c>
      <c r="F137" s="149">
        <v>1.0</v>
      </c>
      <c r="G137" s="68">
        <v>5000.0</v>
      </c>
      <c r="H137" s="150">
        <f>'PAINEL DE CONTROLE'!$G$5</f>
        <v>28359</v>
      </c>
      <c r="I137" s="150">
        <v>24649.0</v>
      </c>
      <c r="J137" s="150">
        <f t="shared" si="3"/>
        <v>29649</v>
      </c>
      <c r="K137" s="151">
        <f t="shared" si="4"/>
        <v>1290</v>
      </c>
      <c r="L137" s="60"/>
      <c r="M137" s="31"/>
      <c r="N137" s="61"/>
      <c r="O137" s="60"/>
      <c r="P137" s="31"/>
      <c r="Q137" s="61"/>
      <c r="R137" s="60"/>
      <c r="S137" s="31"/>
      <c r="T137" s="61"/>
      <c r="U137" s="60"/>
      <c r="V137" s="31"/>
      <c r="W137" s="61"/>
      <c r="X137" s="60"/>
      <c r="Y137" s="31"/>
      <c r="Z137" s="61"/>
      <c r="AA137" s="60"/>
      <c r="AB137" s="31"/>
      <c r="AC137" s="61"/>
      <c r="AD137" s="60"/>
      <c r="AE137" s="31"/>
      <c r="AF137" s="61"/>
      <c r="AG137" s="60"/>
      <c r="AH137" s="31"/>
      <c r="AI137" s="61"/>
      <c r="AJ137" s="60"/>
      <c r="AK137" s="31"/>
      <c r="AL137" s="61"/>
      <c r="AM137" s="60"/>
      <c r="AN137" s="31"/>
      <c r="AO137" s="61"/>
      <c r="AP137" s="60"/>
      <c r="AQ137" s="31"/>
      <c r="AR137" s="61"/>
      <c r="AS137" s="60"/>
      <c r="AT137" s="31"/>
      <c r="AU137" s="61"/>
      <c r="AV137" s="60"/>
      <c r="AW137" s="31"/>
      <c r="AX137" s="61"/>
    </row>
    <row r="138" ht="39.75" customHeight="1">
      <c r="A138" s="158" t="s">
        <v>57</v>
      </c>
      <c r="B138" s="68"/>
      <c r="C138" s="105" t="str">
        <f>VLOOKUP(D138,[1]Saldo!A137:B31410,2,0)</f>
        <v>#ERROR!</v>
      </c>
      <c r="D138" s="68" t="s">
        <v>799</v>
      </c>
      <c r="E138" s="68" t="s">
        <v>796</v>
      </c>
      <c r="F138" s="149">
        <v>1.0</v>
      </c>
      <c r="G138" s="68">
        <v>15000.0</v>
      </c>
      <c r="H138" s="150">
        <f>'PAINEL DE CONTROLE'!$G$5</f>
        <v>28359</v>
      </c>
      <c r="I138" s="150">
        <v>24649.0</v>
      </c>
      <c r="J138" s="150">
        <f t="shared" si="3"/>
        <v>39649</v>
      </c>
      <c r="K138" s="151">
        <f t="shared" si="4"/>
        <v>11290</v>
      </c>
      <c r="L138" s="60"/>
      <c r="M138" s="31"/>
      <c r="N138" s="61"/>
      <c r="O138" s="60"/>
      <c r="P138" s="31"/>
      <c r="Q138" s="61"/>
      <c r="R138" s="60"/>
      <c r="S138" s="31"/>
      <c r="T138" s="61"/>
      <c r="U138" s="60"/>
      <c r="V138" s="31"/>
      <c r="W138" s="61"/>
      <c r="X138" s="60"/>
      <c r="Y138" s="31"/>
      <c r="Z138" s="61"/>
      <c r="AA138" s="60"/>
      <c r="AB138" s="31"/>
      <c r="AC138" s="61"/>
      <c r="AD138" s="60"/>
      <c r="AE138" s="31"/>
      <c r="AF138" s="61"/>
      <c r="AG138" s="60"/>
      <c r="AH138" s="31"/>
      <c r="AI138" s="61"/>
      <c r="AJ138" s="60"/>
      <c r="AK138" s="31"/>
      <c r="AL138" s="61"/>
      <c r="AM138" s="60"/>
      <c r="AN138" s="31"/>
      <c r="AO138" s="61"/>
      <c r="AP138" s="60"/>
      <c r="AQ138" s="31"/>
      <c r="AR138" s="61"/>
      <c r="AS138" s="60"/>
      <c r="AT138" s="31"/>
      <c r="AU138" s="61"/>
      <c r="AV138" s="60"/>
      <c r="AW138" s="31"/>
      <c r="AX138" s="61"/>
    </row>
    <row r="139" ht="39.75" customHeight="1">
      <c r="A139" s="62"/>
      <c r="B139" s="68"/>
      <c r="C139" s="105" t="str">
        <f>VLOOKUP(D139,[1]Saldo!A138:B31411,2,0)</f>
        <v>#ERROR!</v>
      </c>
      <c r="D139" s="68" t="s">
        <v>800</v>
      </c>
      <c r="E139" s="68" t="s">
        <v>672</v>
      </c>
      <c r="F139" s="149">
        <v>1.0</v>
      </c>
      <c r="G139" s="68">
        <v>15000.0</v>
      </c>
      <c r="H139" s="150">
        <f>'PAINEL DE CONTROLE'!$G$5</f>
        <v>28359</v>
      </c>
      <c r="I139" s="150">
        <v>24649.0</v>
      </c>
      <c r="J139" s="150">
        <f t="shared" si="3"/>
        <v>39649</v>
      </c>
      <c r="K139" s="151">
        <f t="shared" si="4"/>
        <v>11290</v>
      </c>
      <c r="L139" s="60"/>
      <c r="M139" s="31"/>
      <c r="N139" s="61"/>
      <c r="O139" s="60"/>
      <c r="P139" s="31"/>
      <c r="Q139" s="61"/>
      <c r="R139" s="60"/>
      <c r="S139" s="31"/>
      <c r="T139" s="61"/>
      <c r="U139" s="60"/>
      <c r="V139" s="31"/>
      <c r="W139" s="61"/>
      <c r="X139" s="60"/>
      <c r="Y139" s="31"/>
      <c r="Z139" s="61"/>
      <c r="AA139" s="60"/>
      <c r="AB139" s="31"/>
      <c r="AC139" s="61"/>
      <c r="AD139" s="60"/>
      <c r="AE139" s="31"/>
      <c r="AF139" s="61"/>
      <c r="AG139" s="60"/>
      <c r="AH139" s="31"/>
      <c r="AI139" s="61"/>
      <c r="AJ139" s="60"/>
      <c r="AK139" s="31"/>
      <c r="AL139" s="61"/>
      <c r="AM139" s="60"/>
      <c r="AN139" s="31"/>
      <c r="AO139" s="61"/>
      <c r="AP139" s="60"/>
      <c r="AQ139" s="31"/>
      <c r="AR139" s="61"/>
      <c r="AS139" s="60"/>
      <c r="AT139" s="31"/>
      <c r="AU139" s="61"/>
      <c r="AV139" s="60"/>
      <c r="AW139" s="31"/>
      <c r="AX139" s="61"/>
    </row>
    <row r="140" ht="39.75" customHeight="1">
      <c r="A140" s="62"/>
      <c r="B140" s="68"/>
      <c r="C140" s="105" t="str">
        <f>VLOOKUP(D140,[1]Saldo!A139:B31412,2,0)</f>
        <v>#ERROR!</v>
      </c>
      <c r="D140" s="68" t="s">
        <v>801</v>
      </c>
      <c r="E140" s="68" t="s">
        <v>742</v>
      </c>
      <c r="F140" s="149">
        <v>8.0</v>
      </c>
      <c r="G140" s="68">
        <v>15000.0</v>
      </c>
      <c r="H140" s="150">
        <f>'PAINEL DE CONTROLE'!$G$5</f>
        <v>28359</v>
      </c>
      <c r="I140" s="150">
        <v>24649.0</v>
      </c>
      <c r="J140" s="150">
        <f t="shared" si="3"/>
        <v>39649</v>
      </c>
      <c r="K140" s="151">
        <f t="shared" si="4"/>
        <v>11290</v>
      </c>
      <c r="L140" s="60"/>
      <c r="M140" s="31"/>
      <c r="N140" s="61"/>
      <c r="O140" s="60"/>
      <c r="P140" s="31"/>
      <c r="Q140" s="61"/>
      <c r="R140" s="60"/>
      <c r="S140" s="31"/>
      <c r="T140" s="61"/>
      <c r="U140" s="60"/>
      <c r="V140" s="31"/>
      <c r="W140" s="61"/>
      <c r="X140" s="60"/>
      <c r="Y140" s="31"/>
      <c r="Z140" s="61"/>
      <c r="AA140" s="60"/>
      <c r="AB140" s="31"/>
      <c r="AC140" s="61"/>
      <c r="AD140" s="60"/>
      <c r="AE140" s="31"/>
      <c r="AF140" s="61"/>
      <c r="AG140" s="60"/>
      <c r="AH140" s="31"/>
      <c r="AI140" s="61"/>
      <c r="AJ140" s="60"/>
      <c r="AK140" s="31"/>
      <c r="AL140" s="61"/>
      <c r="AM140" s="60"/>
      <c r="AN140" s="31"/>
      <c r="AO140" s="61"/>
      <c r="AP140" s="60"/>
      <c r="AQ140" s="31"/>
      <c r="AR140" s="61"/>
      <c r="AS140" s="60"/>
      <c r="AT140" s="31"/>
      <c r="AU140" s="61"/>
      <c r="AV140" s="60"/>
      <c r="AW140" s="31"/>
      <c r="AX140" s="61"/>
    </row>
    <row r="141" ht="39.75" customHeight="1">
      <c r="A141" s="62"/>
      <c r="B141" s="68"/>
      <c r="C141" s="105" t="str">
        <f>VLOOKUP(D141,[1]Saldo!A140:B31413,2,0)</f>
        <v>#ERROR!</v>
      </c>
      <c r="D141" s="68" t="s">
        <v>802</v>
      </c>
      <c r="E141" s="68" t="s">
        <v>742</v>
      </c>
      <c r="F141" s="149">
        <v>16.0</v>
      </c>
      <c r="G141" s="68">
        <v>15000.0</v>
      </c>
      <c r="H141" s="150">
        <f>'PAINEL DE CONTROLE'!$G$5</f>
        <v>28359</v>
      </c>
      <c r="I141" s="150">
        <v>24649.0</v>
      </c>
      <c r="J141" s="150">
        <f t="shared" si="3"/>
        <v>39649</v>
      </c>
      <c r="K141" s="151">
        <f t="shared" si="4"/>
        <v>11290</v>
      </c>
      <c r="L141" s="60"/>
      <c r="M141" s="31"/>
      <c r="N141" s="61"/>
      <c r="O141" s="60"/>
      <c r="P141" s="31"/>
      <c r="Q141" s="61"/>
      <c r="R141" s="60"/>
      <c r="S141" s="31"/>
      <c r="T141" s="61"/>
      <c r="U141" s="60"/>
      <c r="V141" s="31"/>
      <c r="W141" s="61"/>
      <c r="X141" s="60"/>
      <c r="Y141" s="31"/>
      <c r="Z141" s="61"/>
      <c r="AA141" s="60"/>
      <c r="AB141" s="31"/>
      <c r="AC141" s="61"/>
      <c r="AD141" s="60"/>
      <c r="AE141" s="31"/>
      <c r="AF141" s="61"/>
      <c r="AG141" s="60"/>
      <c r="AH141" s="31"/>
      <c r="AI141" s="61"/>
      <c r="AJ141" s="60"/>
      <c r="AK141" s="31"/>
      <c r="AL141" s="61"/>
      <c r="AM141" s="60"/>
      <c r="AN141" s="31"/>
      <c r="AO141" s="61"/>
      <c r="AP141" s="60"/>
      <c r="AQ141" s="31"/>
      <c r="AR141" s="61"/>
      <c r="AS141" s="60"/>
      <c r="AT141" s="31"/>
      <c r="AU141" s="61"/>
      <c r="AV141" s="60"/>
      <c r="AW141" s="31"/>
      <c r="AX141" s="61"/>
    </row>
    <row r="142" ht="39.75" customHeight="1">
      <c r="A142" s="62"/>
      <c r="B142" s="68"/>
      <c r="C142" s="105" t="str">
        <f>VLOOKUP(D142,[1]Saldo!A141:B31414,2,0)</f>
        <v>#ERROR!</v>
      </c>
      <c r="D142" s="68" t="s">
        <v>662</v>
      </c>
      <c r="E142" s="68" t="s">
        <v>742</v>
      </c>
      <c r="F142" s="149">
        <v>16.0</v>
      </c>
      <c r="G142" s="68">
        <v>15000.0</v>
      </c>
      <c r="H142" s="150">
        <f>'PAINEL DE CONTROLE'!$G$5</f>
        <v>28359</v>
      </c>
      <c r="I142" s="150">
        <v>24649.0</v>
      </c>
      <c r="J142" s="150">
        <f t="shared" si="3"/>
        <v>39649</v>
      </c>
      <c r="K142" s="151">
        <f t="shared" si="4"/>
        <v>11290</v>
      </c>
      <c r="L142" s="60"/>
      <c r="M142" s="31"/>
      <c r="N142" s="61"/>
      <c r="O142" s="60"/>
      <c r="P142" s="31"/>
      <c r="Q142" s="61"/>
      <c r="R142" s="60"/>
      <c r="S142" s="31"/>
      <c r="T142" s="61"/>
      <c r="U142" s="60"/>
      <c r="V142" s="31"/>
      <c r="W142" s="61"/>
      <c r="X142" s="60"/>
      <c r="Y142" s="31"/>
      <c r="Z142" s="61"/>
      <c r="AA142" s="60"/>
      <c r="AB142" s="31"/>
      <c r="AC142" s="61"/>
      <c r="AD142" s="60"/>
      <c r="AE142" s="31"/>
      <c r="AF142" s="61"/>
      <c r="AG142" s="60"/>
      <c r="AH142" s="31"/>
      <c r="AI142" s="61"/>
      <c r="AJ142" s="60"/>
      <c r="AK142" s="31"/>
      <c r="AL142" s="61"/>
      <c r="AM142" s="60"/>
      <c r="AN142" s="31"/>
      <c r="AO142" s="61"/>
      <c r="AP142" s="60"/>
      <c r="AQ142" s="31"/>
      <c r="AR142" s="61"/>
      <c r="AS142" s="60"/>
      <c r="AT142" s="31"/>
      <c r="AU142" s="61"/>
      <c r="AV142" s="60"/>
      <c r="AW142" s="31"/>
      <c r="AX142" s="61"/>
    </row>
    <row r="143" ht="39.75" customHeight="1">
      <c r="A143" s="62"/>
      <c r="B143" s="68"/>
      <c r="C143" s="105" t="str">
        <f>VLOOKUP(D143,[1]Saldo!A142:B31415,2,0)</f>
        <v>#ERROR!</v>
      </c>
      <c r="D143" s="68" t="s">
        <v>803</v>
      </c>
      <c r="E143" s="68" t="s">
        <v>804</v>
      </c>
      <c r="F143" s="149">
        <v>8.0</v>
      </c>
      <c r="G143" s="68">
        <v>15000.0</v>
      </c>
      <c r="H143" s="150">
        <f>'PAINEL DE CONTROLE'!$G$5</f>
        <v>28359</v>
      </c>
      <c r="I143" s="150">
        <v>24649.0</v>
      </c>
      <c r="J143" s="150">
        <f t="shared" si="3"/>
        <v>39649</v>
      </c>
      <c r="K143" s="151">
        <f t="shared" si="4"/>
        <v>11290</v>
      </c>
      <c r="L143" s="60"/>
      <c r="M143" s="31"/>
      <c r="N143" s="61"/>
      <c r="O143" s="60"/>
      <c r="P143" s="31"/>
      <c r="Q143" s="61"/>
      <c r="R143" s="60"/>
      <c r="S143" s="31"/>
      <c r="T143" s="61"/>
      <c r="U143" s="60"/>
      <c r="V143" s="31"/>
      <c r="W143" s="61"/>
      <c r="X143" s="60"/>
      <c r="Y143" s="31"/>
      <c r="Z143" s="61"/>
      <c r="AA143" s="60"/>
      <c r="AB143" s="31"/>
      <c r="AC143" s="61"/>
      <c r="AD143" s="60"/>
      <c r="AE143" s="31"/>
      <c r="AF143" s="61"/>
      <c r="AG143" s="60"/>
      <c r="AH143" s="31"/>
      <c r="AI143" s="61"/>
      <c r="AJ143" s="60"/>
      <c r="AK143" s="31"/>
      <c r="AL143" s="61"/>
      <c r="AM143" s="60"/>
      <c r="AN143" s="31"/>
      <c r="AO143" s="61"/>
      <c r="AP143" s="60"/>
      <c r="AQ143" s="31"/>
      <c r="AR143" s="61"/>
      <c r="AS143" s="60"/>
      <c r="AT143" s="31"/>
      <c r="AU143" s="61"/>
      <c r="AV143" s="60"/>
      <c r="AW143" s="31"/>
      <c r="AX143" s="61"/>
    </row>
    <row r="144" ht="39.75" customHeight="1">
      <c r="A144" s="62"/>
      <c r="B144" s="68"/>
      <c r="C144" s="105" t="str">
        <f>VLOOKUP(D144,[1]Saldo!A143:B31416,2,0)</f>
        <v>#ERROR!</v>
      </c>
      <c r="D144" s="68" t="s">
        <v>805</v>
      </c>
      <c r="E144" s="68" t="s">
        <v>791</v>
      </c>
      <c r="F144" s="149">
        <v>8.0</v>
      </c>
      <c r="G144" s="68">
        <v>15000.0</v>
      </c>
      <c r="H144" s="150">
        <f>'PAINEL DE CONTROLE'!$G$5</f>
        <v>28359</v>
      </c>
      <c r="I144" s="150">
        <v>24649.0</v>
      </c>
      <c r="J144" s="150">
        <f t="shared" si="3"/>
        <v>39649</v>
      </c>
      <c r="K144" s="151">
        <f t="shared" si="4"/>
        <v>11290</v>
      </c>
      <c r="L144" s="60"/>
      <c r="M144" s="31"/>
      <c r="N144" s="61"/>
      <c r="O144" s="60"/>
      <c r="P144" s="31"/>
      <c r="Q144" s="61"/>
      <c r="R144" s="60"/>
      <c r="S144" s="31"/>
      <c r="T144" s="61"/>
      <c r="U144" s="60"/>
      <c r="V144" s="31"/>
      <c r="W144" s="61"/>
      <c r="X144" s="60"/>
      <c r="Y144" s="31"/>
      <c r="Z144" s="61"/>
      <c r="AA144" s="60"/>
      <c r="AB144" s="31"/>
      <c r="AC144" s="61"/>
      <c r="AD144" s="60"/>
      <c r="AE144" s="31"/>
      <c r="AF144" s="61"/>
      <c r="AG144" s="60"/>
      <c r="AH144" s="31"/>
      <c r="AI144" s="61"/>
      <c r="AJ144" s="60"/>
      <c r="AK144" s="31"/>
      <c r="AL144" s="61"/>
      <c r="AM144" s="60"/>
      <c r="AN144" s="31"/>
      <c r="AO144" s="61"/>
      <c r="AP144" s="60"/>
      <c r="AQ144" s="31"/>
      <c r="AR144" s="61"/>
      <c r="AS144" s="60"/>
      <c r="AT144" s="31"/>
      <c r="AU144" s="61"/>
      <c r="AV144" s="60"/>
      <c r="AW144" s="31"/>
      <c r="AX144" s="61"/>
    </row>
    <row r="145" ht="39.75" customHeight="1">
      <c r="A145" s="62"/>
      <c r="B145" s="68"/>
      <c r="C145" s="105" t="str">
        <f>VLOOKUP(D145,[1]Saldo!A144:B31417,2,0)</f>
        <v>#ERROR!</v>
      </c>
      <c r="D145" s="68" t="s">
        <v>806</v>
      </c>
      <c r="E145" s="68" t="s">
        <v>686</v>
      </c>
      <c r="F145" s="149">
        <v>8.0</v>
      </c>
      <c r="G145" s="68">
        <v>15000.0</v>
      </c>
      <c r="H145" s="150">
        <f>'PAINEL DE CONTROLE'!$G$5</f>
        <v>28359</v>
      </c>
      <c r="I145" s="150">
        <v>24649.0</v>
      </c>
      <c r="J145" s="150">
        <f t="shared" si="3"/>
        <v>39649</v>
      </c>
      <c r="K145" s="151">
        <f t="shared" si="4"/>
        <v>11290</v>
      </c>
      <c r="L145" s="60"/>
      <c r="M145" s="31"/>
      <c r="N145" s="61"/>
      <c r="O145" s="60"/>
      <c r="P145" s="31"/>
      <c r="Q145" s="61"/>
      <c r="R145" s="60"/>
      <c r="S145" s="31"/>
      <c r="T145" s="61"/>
      <c r="U145" s="60"/>
      <c r="V145" s="31"/>
      <c r="W145" s="61"/>
      <c r="X145" s="60"/>
      <c r="Y145" s="31"/>
      <c r="Z145" s="61"/>
      <c r="AA145" s="60"/>
      <c r="AB145" s="31"/>
      <c r="AC145" s="61"/>
      <c r="AD145" s="60"/>
      <c r="AE145" s="31"/>
      <c r="AF145" s="61"/>
      <c r="AG145" s="60"/>
      <c r="AH145" s="31"/>
      <c r="AI145" s="61"/>
      <c r="AJ145" s="60"/>
      <c r="AK145" s="31"/>
      <c r="AL145" s="61"/>
      <c r="AM145" s="60"/>
      <c r="AN145" s="31"/>
      <c r="AO145" s="61"/>
      <c r="AP145" s="60"/>
      <c r="AQ145" s="31"/>
      <c r="AR145" s="61"/>
      <c r="AS145" s="60"/>
      <c r="AT145" s="31"/>
      <c r="AU145" s="61"/>
      <c r="AV145" s="60"/>
      <c r="AW145" s="31"/>
      <c r="AX145" s="61"/>
    </row>
    <row r="146" ht="39.75" customHeight="1">
      <c r="A146" s="62"/>
      <c r="B146" s="68"/>
      <c r="C146" s="105" t="str">
        <f>VLOOKUP(D146,[1]Saldo!A145:B31418,2,0)</f>
        <v>#ERROR!</v>
      </c>
      <c r="D146" s="68" t="s">
        <v>807</v>
      </c>
      <c r="E146" s="68" t="s">
        <v>787</v>
      </c>
      <c r="F146" s="149">
        <v>8.0</v>
      </c>
      <c r="G146" s="68">
        <v>15000.0</v>
      </c>
      <c r="H146" s="150">
        <f>'PAINEL DE CONTROLE'!$G$5</f>
        <v>28359</v>
      </c>
      <c r="I146" s="150">
        <v>24649.0</v>
      </c>
      <c r="J146" s="150">
        <f t="shared" si="3"/>
        <v>39649</v>
      </c>
      <c r="K146" s="151">
        <f t="shared" si="4"/>
        <v>11290</v>
      </c>
      <c r="L146" s="60"/>
      <c r="M146" s="31"/>
      <c r="N146" s="61"/>
      <c r="O146" s="60"/>
      <c r="P146" s="31"/>
      <c r="Q146" s="61"/>
      <c r="R146" s="60"/>
      <c r="S146" s="31"/>
      <c r="T146" s="61"/>
      <c r="U146" s="60"/>
      <c r="V146" s="31"/>
      <c r="W146" s="61"/>
      <c r="X146" s="60"/>
      <c r="Y146" s="31"/>
      <c r="Z146" s="61"/>
      <c r="AA146" s="60"/>
      <c r="AB146" s="31"/>
      <c r="AC146" s="61"/>
      <c r="AD146" s="60"/>
      <c r="AE146" s="31"/>
      <c r="AF146" s="61"/>
      <c r="AG146" s="60"/>
      <c r="AH146" s="31"/>
      <c r="AI146" s="61"/>
      <c r="AJ146" s="60"/>
      <c r="AK146" s="31"/>
      <c r="AL146" s="61"/>
      <c r="AM146" s="60"/>
      <c r="AN146" s="31"/>
      <c r="AO146" s="61"/>
      <c r="AP146" s="60"/>
      <c r="AQ146" s="31"/>
      <c r="AR146" s="61"/>
      <c r="AS146" s="60"/>
      <c r="AT146" s="31"/>
      <c r="AU146" s="61"/>
      <c r="AV146" s="60"/>
      <c r="AW146" s="31"/>
      <c r="AX146" s="61"/>
    </row>
    <row r="147" ht="39.75" customHeight="1">
      <c r="A147" s="63"/>
      <c r="B147" s="68"/>
      <c r="C147" s="105" t="str">
        <f>VLOOKUP(D147,[1]Saldo!A146:B31419,2,0)</f>
        <v>#ERROR!</v>
      </c>
      <c r="D147" s="68" t="s">
        <v>808</v>
      </c>
      <c r="E147" s="68" t="s">
        <v>804</v>
      </c>
      <c r="F147" s="149">
        <v>8.0</v>
      </c>
      <c r="G147" s="68">
        <v>15000.0</v>
      </c>
      <c r="H147" s="150">
        <f>'PAINEL DE CONTROLE'!$G$5</f>
        <v>28359</v>
      </c>
      <c r="I147" s="150">
        <v>24649.0</v>
      </c>
      <c r="J147" s="150">
        <f t="shared" si="3"/>
        <v>39649</v>
      </c>
      <c r="K147" s="151">
        <f t="shared" si="4"/>
        <v>11290</v>
      </c>
      <c r="L147" s="60"/>
      <c r="M147" s="31"/>
      <c r="N147" s="61"/>
      <c r="O147" s="60"/>
      <c r="P147" s="31"/>
      <c r="Q147" s="61"/>
      <c r="R147" s="60"/>
      <c r="S147" s="31"/>
      <c r="T147" s="61"/>
      <c r="U147" s="60"/>
      <c r="V147" s="31"/>
      <c r="W147" s="61"/>
      <c r="X147" s="60"/>
      <c r="Y147" s="31"/>
      <c r="Z147" s="61"/>
      <c r="AA147" s="60"/>
      <c r="AB147" s="31"/>
      <c r="AC147" s="61"/>
      <c r="AD147" s="60"/>
      <c r="AE147" s="31"/>
      <c r="AF147" s="61"/>
      <c r="AG147" s="60"/>
      <c r="AH147" s="31"/>
      <c r="AI147" s="61"/>
      <c r="AJ147" s="60"/>
      <c r="AK147" s="31"/>
      <c r="AL147" s="61"/>
      <c r="AM147" s="60"/>
      <c r="AN147" s="31"/>
      <c r="AO147" s="61"/>
      <c r="AP147" s="60"/>
      <c r="AQ147" s="31"/>
      <c r="AR147" s="61"/>
      <c r="AS147" s="60"/>
      <c r="AT147" s="31"/>
      <c r="AU147" s="61"/>
      <c r="AV147" s="60"/>
      <c r="AW147" s="31"/>
      <c r="AX147" s="61"/>
    </row>
    <row r="148" ht="39.75" customHeight="1">
      <c r="A148" s="158" t="s">
        <v>58</v>
      </c>
      <c r="B148" s="68"/>
      <c r="C148" s="105" t="str">
        <f>VLOOKUP(D148,[1]Saldo!A147:B31420,2,0)</f>
        <v>#ERROR!</v>
      </c>
      <c r="D148" s="68" t="s">
        <v>809</v>
      </c>
      <c r="E148" s="68" t="s">
        <v>742</v>
      </c>
      <c r="F148" s="149">
        <v>4.0</v>
      </c>
      <c r="G148" s="68">
        <v>12000.0</v>
      </c>
      <c r="H148" s="150">
        <f>'PAINEL DE CONTROLE'!$G$5</f>
        <v>28359</v>
      </c>
      <c r="I148" s="150">
        <v>24649.0</v>
      </c>
      <c r="J148" s="150">
        <f t="shared" si="3"/>
        <v>36649</v>
      </c>
      <c r="K148" s="151">
        <f t="shared" si="4"/>
        <v>8290</v>
      </c>
      <c r="L148" s="60"/>
      <c r="M148" s="31"/>
      <c r="N148" s="61"/>
      <c r="O148" s="60"/>
      <c r="P148" s="31"/>
      <c r="Q148" s="61"/>
      <c r="R148" s="60"/>
      <c r="S148" s="31"/>
      <c r="T148" s="61"/>
      <c r="U148" s="60"/>
      <c r="V148" s="31"/>
      <c r="W148" s="61"/>
      <c r="X148" s="60"/>
      <c r="Y148" s="31"/>
      <c r="Z148" s="61"/>
      <c r="AA148" s="60"/>
      <c r="AB148" s="31"/>
      <c r="AC148" s="61"/>
      <c r="AD148" s="60"/>
      <c r="AE148" s="31"/>
      <c r="AF148" s="61"/>
      <c r="AG148" s="60"/>
      <c r="AH148" s="31"/>
      <c r="AI148" s="61"/>
      <c r="AJ148" s="60"/>
      <c r="AK148" s="31"/>
      <c r="AL148" s="61"/>
      <c r="AM148" s="60"/>
      <c r="AN148" s="31"/>
      <c r="AO148" s="61"/>
      <c r="AP148" s="60"/>
      <c r="AQ148" s="31"/>
      <c r="AR148" s="61"/>
      <c r="AS148" s="60"/>
      <c r="AT148" s="31"/>
      <c r="AU148" s="61"/>
      <c r="AV148" s="60"/>
      <c r="AW148" s="31"/>
      <c r="AX148" s="61"/>
    </row>
    <row r="149" ht="39.75" customHeight="1">
      <c r="A149" s="62"/>
      <c r="B149" s="68"/>
      <c r="C149" s="105" t="str">
        <f>VLOOKUP(D149,[1]Saldo!A148:B31421,2,0)</f>
        <v>#ERROR!</v>
      </c>
      <c r="D149" s="68" t="s">
        <v>810</v>
      </c>
      <c r="E149" s="68" t="s">
        <v>750</v>
      </c>
      <c r="F149" s="149">
        <v>4.0</v>
      </c>
      <c r="G149" s="68">
        <v>12000.0</v>
      </c>
      <c r="H149" s="150">
        <f>'PAINEL DE CONTROLE'!$G$5</f>
        <v>28359</v>
      </c>
      <c r="I149" s="150">
        <v>24649.0</v>
      </c>
      <c r="J149" s="150">
        <f t="shared" si="3"/>
        <v>36649</v>
      </c>
      <c r="K149" s="151">
        <f t="shared" si="4"/>
        <v>8290</v>
      </c>
      <c r="L149" s="60"/>
      <c r="M149" s="31"/>
      <c r="N149" s="61"/>
      <c r="O149" s="60"/>
      <c r="P149" s="31"/>
      <c r="Q149" s="61"/>
      <c r="R149" s="60"/>
      <c r="S149" s="31"/>
      <c r="T149" s="61"/>
      <c r="U149" s="60"/>
      <c r="V149" s="31"/>
      <c r="W149" s="61"/>
      <c r="X149" s="60"/>
      <c r="Y149" s="31"/>
      <c r="Z149" s="61"/>
      <c r="AA149" s="60"/>
      <c r="AB149" s="31"/>
      <c r="AC149" s="61"/>
      <c r="AD149" s="60"/>
      <c r="AE149" s="31"/>
      <c r="AF149" s="61"/>
      <c r="AG149" s="60"/>
      <c r="AH149" s="31"/>
      <c r="AI149" s="61"/>
      <c r="AJ149" s="60"/>
      <c r="AK149" s="31"/>
      <c r="AL149" s="61"/>
      <c r="AM149" s="60"/>
      <c r="AN149" s="31"/>
      <c r="AO149" s="61"/>
      <c r="AP149" s="60"/>
      <c r="AQ149" s="31"/>
      <c r="AR149" s="61"/>
      <c r="AS149" s="60"/>
      <c r="AT149" s="31"/>
      <c r="AU149" s="61"/>
      <c r="AV149" s="60"/>
      <c r="AW149" s="31"/>
      <c r="AX149" s="61"/>
    </row>
    <row r="150" ht="39.75" customHeight="1">
      <c r="A150" s="62"/>
      <c r="B150" s="68"/>
      <c r="C150" s="105" t="str">
        <f>VLOOKUP(D150,[1]Saldo!A149:B31422,2,0)</f>
        <v>#ERROR!</v>
      </c>
      <c r="D150" s="68" t="s">
        <v>811</v>
      </c>
      <c r="E150" s="68" t="s">
        <v>686</v>
      </c>
      <c r="F150" s="149">
        <v>4.0</v>
      </c>
      <c r="G150" s="68">
        <v>12000.0</v>
      </c>
      <c r="H150" s="150">
        <f>'PAINEL DE CONTROLE'!$G$5</f>
        <v>28359</v>
      </c>
      <c r="I150" s="150">
        <v>24649.0</v>
      </c>
      <c r="J150" s="150">
        <f t="shared" si="3"/>
        <v>36649</v>
      </c>
      <c r="K150" s="151">
        <f t="shared" si="4"/>
        <v>8290</v>
      </c>
      <c r="L150" s="60"/>
      <c r="M150" s="31"/>
      <c r="N150" s="61"/>
      <c r="O150" s="60"/>
      <c r="P150" s="31"/>
      <c r="Q150" s="61"/>
      <c r="R150" s="60"/>
      <c r="S150" s="31"/>
      <c r="T150" s="61"/>
      <c r="U150" s="60"/>
      <c r="V150" s="31"/>
      <c r="W150" s="61"/>
      <c r="X150" s="60"/>
      <c r="Y150" s="31"/>
      <c r="Z150" s="61"/>
      <c r="AA150" s="60"/>
      <c r="AB150" s="31"/>
      <c r="AC150" s="61"/>
      <c r="AD150" s="60"/>
      <c r="AE150" s="31"/>
      <c r="AF150" s="61"/>
      <c r="AG150" s="60"/>
      <c r="AH150" s="31"/>
      <c r="AI150" s="61"/>
      <c r="AJ150" s="60"/>
      <c r="AK150" s="31"/>
      <c r="AL150" s="61"/>
      <c r="AM150" s="60"/>
      <c r="AN150" s="31"/>
      <c r="AO150" s="61"/>
      <c r="AP150" s="60"/>
      <c r="AQ150" s="31"/>
      <c r="AR150" s="61"/>
      <c r="AS150" s="60"/>
      <c r="AT150" s="31"/>
      <c r="AU150" s="61"/>
      <c r="AV150" s="60"/>
      <c r="AW150" s="31"/>
      <c r="AX150" s="61"/>
    </row>
    <row r="151" ht="39.75" customHeight="1">
      <c r="A151" s="62"/>
      <c r="B151" s="68"/>
      <c r="C151" s="105" t="str">
        <f>VLOOKUP(D151,[1]Saldo!A150:B31423,2,0)</f>
        <v>#ERROR!</v>
      </c>
      <c r="D151" s="68" t="s">
        <v>812</v>
      </c>
      <c r="E151" s="68" t="s">
        <v>813</v>
      </c>
      <c r="F151" s="149">
        <v>4.0</v>
      </c>
      <c r="G151" s="68">
        <v>12000.0</v>
      </c>
      <c r="H151" s="150">
        <f>'PAINEL DE CONTROLE'!$G$5</f>
        <v>28359</v>
      </c>
      <c r="I151" s="150">
        <v>24649.0</v>
      </c>
      <c r="J151" s="150">
        <f t="shared" si="3"/>
        <v>36649</v>
      </c>
      <c r="K151" s="151">
        <f t="shared" si="4"/>
        <v>8290</v>
      </c>
      <c r="L151" s="60"/>
      <c r="M151" s="31"/>
      <c r="N151" s="61"/>
      <c r="O151" s="60"/>
      <c r="P151" s="31"/>
      <c r="Q151" s="61"/>
      <c r="R151" s="60"/>
      <c r="S151" s="31"/>
      <c r="T151" s="61"/>
      <c r="U151" s="60"/>
      <c r="V151" s="31"/>
      <c r="W151" s="61"/>
      <c r="X151" s="60"/>
      <c r="Y151" s="31"/>
      <c r="Z151" s="61"/>
      <c r="AA151" s="60"/>
      <c r="AB151" s="31"/>
      <c r="AC151" s="61"/>
      <c r="AD151" s="60"/>
      <c r="AE151" s="31"/>
      <c r="AF151" s="61"/>
      <c r="AG151" s="60"/>
      <c r="AH151" s="31"/>
      <c r="AI151" s="61"/>
      <c r="AJ151" s="60"/>
      <c r="AK151" s="31"/>
      <c r="AL151" s="61"/>
      <c r="AM151" s="60"/>
      <c r="AN151" s="31"/>
      <c r="AO151" s="61"/>
      <c r="AP151" s="60"/>
      <c r="AQ151" s="31"/>
      <c r="AR151" s="61"/>
      <c r="AS151" s="60"/>
      <c r="AT151" s="31"/>
      <c r="AU151" s="61"/>
      <c r="AV151" s="60"/>
      <c r="AW151" s="31"/>
      <c r="AX151" s="61"/>
    </row>
    <row r="152" ht="39.75" customHeight="1">
      <c r="A152" s="62"/>
      <c r="B152" s="68"/>
      <c r="C152" s="105" t="str">
        <f>VLOOKUP(D152,[1]Saldo!A151:B31424,2,0)</f>
        <v>#ERROR!</v>
      </c>
      <c r="D152" s="68" t="s">
        <v>814</v>
      </c>
      <c r="E152" s="68" t="s">
        <v>796</v>
      </c>
      <c r="F152" s="149">
        <v>4.0</v>
      </c>
      <c r="G152" s="68">
        <v>12000.0</v>
      </c>
      <c r="H152" s="150">
        <f>'PAINEL DE CONTROLE'!$G$5</f>
        <v>28359</v>
      </c>
      <c r="I152" s="150">
        <v>24649.0</v>
      </c>
      <c r="J152" s="150">
        <f t="shared" si="3"/>
        <v>36649</v>
      </c>
      <c r="K152" s="151">
        <f t="shared" si="4"/>
        <v>8290</v>
      </c>
      <c r="L152" s="60"/>
      <c r="M152" s="31"/>
      <c r="N152" s="61"/>
      <c r="O152" s="60"/>
      <c r="P152" s="31"/>
      <c r="Q152" s="61"/>
      <c r="R152" s="60"/>
      <c r="S152" s="31"/>
      <c r="T152" s="61"/>
      <c r="U152" s="60"/>
      <c r="V152" s="31"/>
      <c r="W152" s="61"/>
      <c r="X152" s="60"/>
      <c r="Y152" s="31"/>
      <c r="Z152" s="61"/>
      <c r="AA152" s="60"/>
      <c r="AB152" s="31"/>
      <c r="AC152" s="61"/>
      <c r="AD152" s="60"/>
      <c r="AE152" s="31"/>
      <c r="AF152" s="61"/>
      <c r="AG152" s="60"/>
      <c r="AH152" s="31"/>
      <c r="AI152" s="61"/>
      <c r="AJ152" s="60"/>
      <c r="AK152" s="31"/>
      <c r="AL152" s="61"/>
      <c r="AM152" s="60"/>
      <c r="AN152" s="31"/>
      <c r="AO152" s="61"/>
      <c r="AP152" s="60"/>
      <c r="AQ152" s="31"/>
      <c r="AR152" s="61"/>
      <c r="AS152" s="60"/>
      <c r="AT152" s="31"/>
      <c r="AU152" s="61"/>
      <c r="AV152" s="60"/>
      <c r="AW152" s="31"/>
      <c r="AX152" s="61"/>
    </row>
    <row r="153" ht="39.75" customHeight="1">
      <c r="A153" s="62"/>
      <c r="B153" s="68"/>
      <c r="C153" s="105" t="str">
        <f>VLOOKUP(D153,[1]Saldo!A152:B31425,2,0)</f>
        <v>#ERROR!</v>
      </c>
      <c r="D153" s="68" t="s">
        <v>713</v>
      </c>
      <c r="E153" s="68" t="s">
        <v>605</v>
      </c>
      <c r="F153" s="149">
        <v>4.0</v>
      </c>
      <c r="G153" s="68">
        <v>12000.0</v>
      </c>
      <c r="H153" s="150">
        <f>'PAINEL DE CONTROLE'!$G$5</f>
        <v>28359</v>
      </c>
      <c r="I153" s="150">
        <v>24649.0</v>
      </c>
      <c r="J153" s="150">
        <f t="shared" si="3"/>
        <v>36649</v>
      </c>
      <c r="K153" s="151">
        <f t="shared" si="4"/>
        <v>8290</v>
      </c>
      <c r="L153" s="60"/>
      <c r="M153" s="31"/>
      <c r="N153" s="61"/>
      <c r="O153" s="60"/>
      <c r="P153" s="31"/>
      <c r="Q153" s="61"/>
      <c r="R153" s="60"/>
      <c r="S153" s="31"/>
      <c r="T153" s="61"/>
      <c r="U153" s="60"/>
      <c r="V153" s="31"/>
      <c r="W153" s="61"/>
      <c r="X153" s="60"/>
      <c r="Y153" s="31"/>
      <c r="Z153" s="61"/>
      <c r="AA153" s="60"/>
      <c r="AB153" s="31"/>
      <c r="AC153" s="61"/>
      <c r="AD153" s="60"/>
      <c r="AE153" s="31"/>
      <c r="AF153" s="61"/>
      <c r="AG153" s="60"/>
      <c r="AH153" s="31"/>
      <c r="AI153" s="61"/>
      <c r="AJ153" s="60"/>
      <c r="AK153" s="31"/>
      <c r="AL153" s="61"/>
      <c r="AM153" s="60"/>
      <c r="AN153" s="31"/>
      <c r="AO153" s="61"/>
      <c r="AP153" s="60"/>
      <c r="AQ153" s="31"/>
      <c r="AR153" s="61"/>
      <c r="AS153" s="60"/>
      <c r="AT153" s="31"/>
      <c r="AU153" s="61"/>
      <c r="AV153" s="60"/>
      <c r="AW153" s="31"/>
      <c r="AX153" s="61"/>
    </row>
    <row r="154" ht="39.75" customHeight="1">
      <c r="A154" s="62"/>
      <c r="B154" s="68"/>
      <c r="C154" s="105" t="str">
        <f>VLOOKUP(D154,[1]Saldo!A153:B31426,2,0)</f>
        <v>#ERROR!</v>
      </c>
      <c r="D154" s="68" t="s">
        <v>815</v>
      </c>
      <c r="E154" s="68" t="s">
        <v>742</v>
      </c>
      <c r="F154" s="149">
        <v>4.0</v>
      </c>
      <c r="G154" s="68">
        <v>12000.0</v>
      </c>
      <c r="H154" s="150">
        <f>'PAINEL DE CONTROLE'!$G$5</f>
        <v>28359</v>
      </c>
      <c r="I154" s="150">
        <v>24649.0</v>
      </c>
      <c r="J154" s="150">
        <f t="shared" si="3"/>
        <v>36649</v>
      </c>
      <c r="K154" s="151">
        <f t="shared" si="4"/>
        <v>8290</v>
      </c>
      <c r="L154" s="60"/>
      <c r="M154" s="31"/>
      <c r="N154" s="61"/>
      <c r="O154" s="60"/>
      <c r="P154" s="31"/>
      <c r="Q154" s="61"/>
      <c r="R154" s="60"/>
      <c r="S154" s="31"/>
      <c r="T154" s="61"/>
      <c r="U154" s="60"/>
      <c r="V154" s="31"/>
      <c r="W154" s="61"/>
      <c r="X154" s="60"/>
      <c r="Y154" s="31"/>
      <c r="Z154" s="61"/>
      <c r="AA154" s="60"/>
      <c r="AB154" s="31"/>
      <c r="AC154" s="61"/>
      <c r="AD154" s="60"/>
      <c r="AE154" s="31"/>
      <c r="AF154" s="61"/>
      <c r="AG154" s="60"/>
      <c r="AH154" s="31"/>
      <c r="AI154" s="61"/>
      <c r="AJ154" s="60"/>
      <c r="AK154" s="31"/>
      <c r="AL154" s="61"/>
      <c r="AM154" s="60"/>
      <c r="AN154" s="31"/>
      <c r="AO154" s="61"/>
      <c r="AP154" s="60"/>
      <c r="AQ154" s="31"/>
      <c r="AR154" s="61"/>
      <c r="AS154" s="60"/>
      <c r="AT154" s="31"/>
      <c r="AU154" s="61"/>
      <c r="AV154" s="60"/>
      <c r="AW154" s="31"/>
      <c r="AX154" s="61"/>
    </row>
    <row r="155" ht="39.75" customHeight="1">
      <c r="A155" s="63"/>
      <c r="B155" s="68"/>
      <c r="C155" s="105" t="str">
        <f>VLOOKUP(D155,[1]Saldo!A154:B31427,2,0)</f>
        <v>#ERROR!</v>
      </c>
      <c r="D155" s="68" t="s">
        <v>816</v>
      </c>
      <c r="E155" s="68" t="s">
        <v>605</v>
      </c>
      <c r="F155" s="149">
        <v>2.0</v>
      </c>
      <c r="G155" s="68">
        <v>12000.0</v>
      </c>
      <c r="H155" s="150">
        <f>'PAINEL DE CONTROLE'!$G$5</f>
        <v>28359</v>
      </c>
      <c r="I155" s="150">
        <v>24649.0</v>
      </c>
      <c r="J155" s="150">
        <f t="shared" si="3"/>
        <v>36649</v>
      </c>
      <c r="K155" s="151">
        <f t="shared" si="4"/>
        <v>8290</v>
      </c>
      <c r="L155" s="60"/>
      <c r="M155" s="31"/>
      <c r="N155" s="61"/>
      <c r="O155" s="60"/>
      <c r="P155" s="31"/>
      <c r="Q155" s="61"/>
      <c r="R155" s="60"/>
      <c r="S155" s="31"/>
      <c r="T155" s="61"/>
      <c r="U155" s="60"/>
      <c r="V155" s="31"/>
      <c r="W155" s="61"/>
      <c r="X155" s="60"/>
      <c r="Y155" s="31"/>
      <c r="Z155" s="61"/>
      <c r="AA155" s="60"/>
      <c r="AB155" s="31"/>
      <c r="AC155" s="61"/>
      <c r="AD155" s="60"/>
      <c r="AE155" s="31"/>
      <c r="AF155" s="61"/>
      <c r="AG155" s="60"/>
      <c r="AH155" s="31"/>
      <c r="AI155" s="61"/>
      <c r="AJ155" s="60"/>
      <c r="AK155" s="31"/>
      <c r="AL155" s="61"/>
      <c r="AM155" s="60"/>
      <c r="AN155" s="31"/>
      <c r="AO155" s="61"/>
      <c r="AP155" s="60"/>
      <c r="AQ155" s="31"/>
      <c r="AR155" s="61"/>
      <c r="AS155" s="60"/>
      <c r="AT155" s="31"/>
      <c r="AU155" s="61"/>
      <c r="AV155" s="60"/>
      <c r="AW155" s="31"/>
      <c r="AX155" s="61"/>
    </row>
    <row r="156" ht="39.75" customHeight="1">
      <c r="A156" s="158" t="s">
        <v>58</v>
      </c>
      <c r="B156" s="68"/>
      <c r="C156" s="105" t="str">
        <f>VLOOKUP(D156,[1]Saldo!A155:B31428,2,0)</f>
        <v>#ERROR!</v>
      </c>
      <c r="D156" s="68" t="s">
        <v>817</v>
      </c>
      <c r="E156" s="68" t="s">
        <v>818</v>
      </c>
      <c r="F156" s="149">
        <v>1.0</v>
      </c>
      <c r="G156" s="68">
        <v>12000.0</v>
      </c>
      <c r="H156" s="150">
        <f>'PAINEL DE CONTROLE'!$G$5</f>
        <v>28359</v>
      </c>
      <c r="I156" s="150">
        <v>24649.0</v>
      </c>
      <c r="J156" s="150">
        <f t="shared" si="3"/>
        <v>36649</v>
      </c>
      <c r="K156" s="151">
        <f t="shared" si="4"/>
        <v>8290</v>
      </c>
      <c r="L156" s="60"/>
      <c r="M156" s="31"/>
      <c r="N156" s="61"/>
      <c r="O156" s="60"/>
      <c r="P156" s="31"/>
      <c r="Q156" s="61"/>
      <c r="R156" s="60"/>
      <c r="S156" s="31"/>
      <c r="T156" s="61"/>
      <c r="U156" s="60"/>
      <c r="V156" s="31"/>
      <c r="W156" s="61"/>
      <c r="X156" s="60"/>
      <c r="Y156" s="31"/>
      <c r="Z156" s="61"/>
      <c r="AA156" s="60"/>
      <c r="AB156" s="31"/>
      <c r="AC156" s="61"/>
      <c r="AD156" s="60"/>
      <c r="AE156" s="31"/>
      <c r="AF156" s="61"/>
      <c r="AG156" s="60"/>
      <c r="AH156" s="31"/>
      <c r="AI156" s="61"/>
      <c r="AJ156" s="60"/>
      <c r="AK156" s="31"/>
      <c r="AL156" s="61"/>
      <c r="AM156" s="60"/>
      <c r="AN156" s="31"/>
      <c r="AO156" s="61"/>
      <c r="AP156" s="60"/>
      <c r="AQ156" s="31"/>
      <c r="AR156" s="61"/>
      <c r="AS156" s="60"/>
      <c r="AT156" s="31"/>
      <c r="AU156" s="61"/>
      <c r="AV156" s="60"/>
      <c r="AW156" s="31"/>
      <c r="AX156" s="61"/>
    </row>
    <row r="157" ht="39.75" customHeight="1">
      <c r="A157" s="63"/>
      <c r="B157" s="68"/>
      <c r="C157" s="105" t="str">
        <f>VLOOKUP(D157,[1]Saldo!A156:B31429,2,0)</f>
        <v>#ERROR!</v>
      </c>
      <c r="D157" s="68" t="s">
        <v>819</v>
      </c>
      <c r="E157" s="68" t="s">
        <v>818</v>
      </c>
      <c r="F157" s="149">
        <v>1.0</v>
      </c>
      <c r="G157" s="68">
        <v>12000.0</v>
      </c>
      <c r="H157" s="150">
        <f>'PAINEL DE CONTROLE'!$G$5</f>
        <v>28359</v>
      </c>
      <c r="I157" s="150">
        <v>24649.0</v>
      </c>
      <c r="J157" s="150">
        <f t="shared" si="3"/>
        <v>36649</v>
      </c>
      <c r="K157" s="151">
        <f t="shared" si="4"/>
        <v>8290</v>
      </c>
      <c r="L157" s="60"/>
      <c r="M157" s="31"/>
      <c r="N157" s="61"/>
      <c r="O157" s="60"/>
      <c r="P157" s="31"/>
      <c r="Q157" s="61"/>
      <c r="R157" s="60"/>
      <c r="S157" s="31"/>
      <c r="T157" s="61"/>
      <c r="U157" s="60"/>
      <c r="V157" s="31"/>
      <c r="W157" s="61"/>
      <c r="X157" s="60"/>
      <c r="Y157" s="31"/>
      <c r="Z157" s="61"/>
      <c r="AA157" s="60"/>
      <c r="AB157" s="31"/>
      <c r="AC157" s="61"/>
      <c r="AD157" s="60"/>
      <c r="AE157" s="31"/>
      <c r="AF157" s="61"/>
      <c r="AG157" s="60"/>
      <c r="AH157" s="31"/>
      <c r="AI157" s="61"/>
      <c r="AJ157" s="60"/>
      <c r="AK157" s="31"/>
      <c r="AL157" s="61"/>
      <c r="AM157" s="60"/>
      <c r="AN157" s="31"/>
      <c r="AO157" s="61"/>
      <c r="AP157" s="60"/>
      <c r="AQ157" s="31"/>
      <c r="AR157" s="61"/>
      <c r="AS157" s="60"/>
      <c r="AT157" s="31"/>
      <c r="AU157" s="61"/>
      <c r="AV157" s="60"/>
      <c r="AW157" s="31"/>
      <c r="AX157" s="61"/>
    </row>
    <row r="158" ht="39.75" customHeight="1">
      <c r="A158" s="158" t="s">
        <v>59</v>
      </c>
      <c r="B158" s="68"/>
      <c r="C158" s="105" t="str">
        <f>VLOOKUP(D158,[1]Saldo!A157:B31430,2,0)</f>
        <v>#ERROR!</v>
      </c>
      <c r="D158" s="68" t="s">
        <v>820</v>
      </c>
      <c r="E158" s="68" t="s">
        <v>624</v>
      </c>
      <c r="F158" s="149">
        <v>2.0</v>
      </c>
      <c r="G158" s="68">
        <v>6000.0</v>
      </c>
      <c r="H158" s="150">
        <f>'PAINEL DE CONTROLE'!$G$5</f>
        <v>28359</v>
      </c>
      <c r="I158" s="150">
        <v>24649.0</v>
      </c>
      <c r="J158" s="150">
        <f t="shared" si="3"/>
        <v>30649</v>
      </c>
      <c r="K158" s="151">
        <f t="shared" si="4"/>
        <v>2290</v>
      </c>
      <c r="L158" s="60"/>
      <c r="M158" s="31"/>
      <c r="N158" s="61"/>
      <c r="O158" s="60"/>
      <c r="P158" s="31"/>
      <c r="Q158" s="61"/>
      <c r="R158" s="60"/>
      <c r="S158" s="31"/>
      <c r="T158" s="61"/>
      <c r="U158" s="60"/>
      <c r="V158" s="31"/>
      <c r="W158" s="61"/>
      <c r="X158" s="60"/>
      <c r="Y158" s="31"/>
      <c r="Z158" s="61"/>
      <c r="AA158" s="60"/>
      <c r="AB158" s="31"/>
      <c r="AC158" s="61"/>
      <c r="AD158" s="60"/>
      <c r="AE158" s="31"/>
      <c r="AF158" s="61"/>
      <c r="AG158" s="60"/>
      <c r="AH158" s="31"/>
      <c r="AI158" s="61"/>
      <c r="AJ158" s="60"/>
      <c r="AK158" s="31"/>
      <c r="AL158" s="61"/>
      <c r="AM158" s="60"/>
      <c r="AN158" s="31"/>
      <c r="AO158" s="61"/>
      <c r="AP158" s="60"/>
      <c r="AQ158" s="31"/>
      <c r="AR158" s="61"/>
      <c r="AS158" s="60"/>
      <c r="AT158" s="31"/>
      <c r="AU158" s="61"/>
      <c r="AV158" s="60"/>
      <c r="AW158" s="31"/>
      <c r="AX158" s="61"/>
    </row>
    <row r="159" ht="39.75" customHeight="1">
      <c r="A159" s="62"/>
      <c r="B159" s="68"/>
      <c r="C159" s="105" t="str">
        <f>VLOOKUP(D159,[1]Saldo!A158:B31431,2,0)</f>
        <v>#ERROR!</v>
      </c>
      <c r="D159" s="68" t="s">
        <v>821</v>
      </c>
      <c r="E159" s="68" t="s">
        <v>772</v>
      </c>
      <c r="F159" s="149">
        <v>2.0</v>
      </c>
      <c r="G159" s="68">
        <v>6000.0</v>
      </c>
      <c r="H159" s="150">
        <f>'PAINEL DE CONTROLE'!$G$5</f>
        <v>28359</v>
      </c>
      <c r="I159" s="150">
        <v>24649.0</v>
      </c>
      <c r="J159" s="150">
        <f t="shared" si="3"/>
        <v>30649</v>
      </c>
      <c r="K159" s="151">
        <f t="shared" si="4"/>
        <v>2290</v>
      </c>
      <c r="L159" s="60"/>
      <c r="M159" s="31"/>
      <c r="N159" s="61"/>
      <c r="O159" s="60"/>
      <c r="P159" s="31"/>
      <c r="Q159" s="61"/>
      <c r="R159" s="60"/>
      <c r="S159" s="31"/>
      <c r="T159" s="61"/>
      <c r="U159" s="60"/>
      <c r="V159" s="31"/>
      <c r="W159" s="61"/>
      <c r="X159" s="60"/>
      <c r="Y159" s="31"/>
      <c r="Z159" s="61"/>
      <c r="AA159" s="60"/>
      <c r="AB159" s="31"/>
      <c r="AC159" s="61"/>
      <c r="AD159" s="60"/>
      <c r="AE159" s="31"/>
      <c r="AF159" s="61"/>
      <c r="AG159" s="60"/>
      <c r="AH159" s="31"/>
      <c r="AI159" s="61"/>
      <c r="AJ159" s="60"/>
      <c r="AK159" s="31"/>
      <c r="AL159" s="61"/>
      <c r="AM159" s="60"/>
      <c r="AN159" s="31"/>
      <c r="AO159" s="61"/>
      <c r="AP159" s="60"/>
      <c r="AQ159" s="31"/>
      <c r="AR159" s="61"/>
      <c r="AS159" s="60"/>
      <c r="AT159" s="31"/>
      <c r="AU159" s="61"/>
      <c r="AV159" s="60"/>
      <c r="AW159" s="31"/>
      <c r="AX159" s="61"/>
    </row>
    <row r="160" ht="39.75" customHeight="1">
      <c r="A160" s="62"/>
      <c r="B160" s="68"/>
      <c r="C160" s="105" t="str">
        <f>VLOOKUP(D160,[1]Saldo!A159:B31432,2,0)</f>
        <v>#ERROR!</v>
      </c>
      <c r="D160" s="68" t="s">
        <v>822</v>
      </c>
      <c r="E160" s="68" t="s">
        <v>618</v>
      </c>
      <c r="F160" s="149">
        <v>4.0</v>
      </c>
      <c r="G160" s="68">
        <v>6000.0</v>
      </c>
      <c r="H160" s="150">
        <f>'PAINEL DE CONTROLE'!$G$5</f>
        <v>28359</v>
      </c>
      <c r="I160" s="150">
        <v>24649.0</v>
      </c>
      <c r="J160" s="150">
        <f t="shared" si="3"/>
        <v>30649</v>
      </c>
      <c r="K160" s="151">
        <f t="shared" si="4"/>
        <v>2290</v>
      </c>
      <c r="L160" s="60"/>
      <c r="M160" s="31"/>
      <c r="N160" s="61"/>
      <c r="O160" s="60"/>
      <c r="P160" s="31"/>
      <c r="Q160" s="61"/>
      <c r="R160" s="60"/>
      <c r="S160" s="31"/>
      <c r="T160" s="61"/>
      <c r="U160" s="60"/>
      <c r="V160" s="31"/>
      <c r="W160" s="61"/>
      <c r="X160" s="60"/>
      <c r="Y160" s="31"/>
      <c r="Z160" s="61"/>
      <c r="AA160" s="60"/>
      <c r="AB160" s="31"/>
      <c r="AC160" s="61"/>
      <c r="AD160" s="60"/>
      <c r="AE160" s="31"/>
      <c r="AF160" s="61"/>
      <c r="AG160" s="60"/>
      <c r="AH160" s="31"/>
      <c r="AI160" s="61"/>
      <c r="AJ160" s="60"/>
      <c r="AK160" s="31"/>
      <c r="AL160" s="61"/>
      <c r="AM160" s="60"/>
      <c r="AN160" s="31"/>
      <c r="AO160" s="61"/>
      <c r="AP160" s="60"/>
      <c r="AQ160" s="31"/>
      <c r="AR160" s="61"/>
      <c r="AS160" s="60"/>
      <c r="AT160" s="31"/>
      <c r="AU160" s="61"/>
      <c r="AV160" s="60"/>
      <c r="AW160" s="31"/>
      <c r="AX160" s="61"/>
    </row>
    <row r="161" ht="39.75" customHeight="1">
      <c r="A161" s="62"/>
      <c r="B161" s="68"/>
      <c r="C161" s="105" t="str">
        <f>VLOOKUP(D161,[1]Saldo!A160:B31433,2,0)</f>
        <v>#ERROR!</v>
      </c>
      <c r="D161" s="68" t="s">
        <v>823</v>
      </c>
      <c r="E161" s="68" t="s">
        <v>824</v>
      </c>
      <c r="F161" s="149">
        <v>2.0</v>
      </c>
      <c r="G161" s="68">
        <v>6000.0</v>
      </c>
      <c r="H161" s="150">
        <f>'PAINEL DE CONTROLE'!$G$5</f>
        <v>28359</v>
      </c>
      <c r="I161" s="150">
        <v>24649.0</v>
      </c>
      <c r="J161" s="150">
        <f t="shared" si="3"/>
        <v>30649</v>
      </c>
      <c r="K161" s="151">
        <f t="shared" si="4"/>
        <v>2290</v>
      </c>
      <c r="L161" s="60"/>
      <c r="M161" s="31"/>
      <c r="N161" s="61"/>
      <c r="O161" s="60"/>
      <c r="P161" s="31"/>
      <c r="Q161" s="61"/>
      <c r="R161" s="60"/>
      <c r="S161" s="31"/>
      <c r="T161" s="61"/>
      <c r="U161" s="60"/>
      <c r="V161" s="31"/>
      <c r="W161" s="61"/>
      <c r="X161" s="60"/>
      <c r="Y161" s="31"/>
      <c r="Z161" s="61"/>
      <c r="AA161" s="60"/>
      <c r="AB161" s="31"/>
      <c r="AC161" s="61"/>
      <c r="AD161" s="60"/>
      <c r="AE161" s="31"/>
      <c r="AF161" s="61"/>
      <c r="AG161" s="60"/>
      <c r="AH161" s="31"/>
      <c r="AI161" s="61"/>
      <c r="AJ161" s="60"/>
      <c r="AK161" s="31"/>
      <c r="AL161" s="61"/>
      <c r="AM161" s="60"/>
      <c r="AN161" s="31"/>
      <c r="AO161" s="61"/>
      <c r="AP161" s="60"/>
      <c r="AQ161" s="31"/>
      <c r="AR161" s="61"/>
      <c r="AS161" s="60"/>
      <c r="AT161" s="31"/>
      <c r="AU161" s="61"/>
      <c r="AV161" s="60"/>
      <c r="AW161" s="31"/>
      <c r="AX161" s="61"/>
    </row>
    <row r="162" ht="39.75" customHeight="1">
      <c r="A162" s="63"/>
      <c r="B162" s="68"/>
      <c r="C162" s="105" t="str">
        <f>VLOOKUP(D162,[1]Saldo!A161:B31434,2,0)</f>
        <v>#ERROR!</v>
      </c>
      <c r="D162" s="68" t="s">
        <v>825</v>
      </c>
      <c r="E162" s="68" t="s">
        <v>796</v>
      </c>
      <c r="F162" s="149">
        <v>2.0</v>
      </c>
      <c r="G162" s="68">
        <v>6000.0</v>
      </c>
      <c r="H162" s="150">
        <f>'PAINEL DE CONTROLE'!$G$5</f>
        <v>28359</v>
      </c>
      <c r="I162" s="150">
        <v>24649.0</v>
      </c>
      <c r="J162" s="150">
        <f t="shared" si="3"/>
        <v>30649</v>
      </c>
      <c r="K162" s="151">
        <f t="shared" si="4"/>
        <v>2290</v>
      </c>
      <c r="L162" s="60"/>
      <c r="M162" s="31"/>
      <c r="N162" s="61"/>
      <c r="O162" s="60"/>
      <c r="P162" s="31"/>
      <c r="Q162" s="61"/>
      <c r="R162" s="60"/>
      <c r="S162" s="31"/>
      <c r="T162" s="61"/>
      <c r="U162" s="60"/>
      <c r="V162" s="31"/>
      <c r="W162" s="61"/>
      <c r="X162" s="60"/>
      <c r="Y162" s="31"/>
      <c r="Z162" s="61"/>
      <c r="AA162" s="60"/>
      <c r="AB162" s="31"/>
      <c r="AC162" s="61"/>
      <c r="AD162" s="60"/>
      <c r="AE162" s="31"/>
      <c r="AF162" s="61"/>
      <c r="AG162" s="60"/>
      <c r="AH162" s="31"/>
      <c r="AI162" s="61"/>
      <c r="AJ162" s="60"/>
      <c r="AK162" s="31"/>
      <c r="AL162" s="61"/>
      <c r="AM162" s="60"/>
      <c r="AN162" s="31"/>
      <c r="AO162" s="61"/>
      <c r="AP162" s="60"/>
      <c r="AQ162" s="31"/>
      <c r="AR162" s="61"/>
      <c r="AS162" s="60"/>
      <c r="AT162" s="31"/>
      <c r="AU162" s="61"/>
      <c r="AV162" s="60"/>
      <c r="AW162" s="31"/>
      <c r="AX162" s="61"/>
    </row>
    <row r="163" ht="39.75" customHeight="1">
      <c r="A163" s="158" t="s">
        <v>60</v>
      </c>
      <c r="B163" s="68"/>
      <c r="C163" s="105" t="str">
        <f>VLOOKUP(D163,[1]Saldo!A162:B31435,2,0)</f>
        <v>#ERROR!</v>
      </c>
      <c r="D163" s="68" t="s">
        <v>826</v>
      </c>
      <c r="E163" s="68" t="s">
        <v>634</v>
      </c>
      <c r="F163" s="149">
        <v>4.0</v>
      </c>
      <c r="G163" s="68">
        <v>3000.0</v>
      </c>
      <c r="H163" s="150">
        <f>'PAINEL DE CONTROLE'!$G$5</f>
        <v>28359</v>
      </c>
      <c r="I163" s="150">
        <v>24649.0</v>
      </c>
      <c r="J163" s="150">
        <f t="shared" si="3"/>
        <v>27649</v>
      </c>
      <c r="K163" s="151">
        <f t="shared" si="4"/>
        <v>-710</v>
      </c>
      <c r="L163" s="60"/>
      <c r="M163" s="31"/>
      <c r="N163" s="61"/>
      <c r="O163" s="60"/>
      <c r="P163" s="31"/>
      <c r="Q163" s="61"/>
      <c r="R163" s="60"/>
      <c r="S163" s="31"/>
      <c r="T163" s="61"/>
      <c r="U163" s="60"/>
      <c r="V163" s="31"/>
      <c r="W163" s="61"/>
      <c r="X163" s="60"/>
      <c r="Y163" s="31"/>
      <c r="Z163" s="61"/>
      <c r="AA163" s="60"/>
      <c r="AB163" s="31"/>
      <c r="AC163" s="61"/>
      <c r="AD163" s="60"/>
      <c r="AE163" s="31"/>
      <c r="AF163" s="61"/>
      <c r="AG163" s="60"/>
      <c r="AH163" s="31"/>
      <c r="AI163" s="61"/>
      <c r="AJ163" s="60"/>
      <c r="AK163" s="31"/>
      <c r="AL163" s="61"/>
      <c r="AM163" s="60"/>
      <c r="AN163" s="31"/>
      <c r="AO163" s="61"/>
      <c r="AP163" s="60"/>
      <c r="AQ163" s="31"/>
      <c r="AR163" s="61"/>
      <c r="AS163" s="60"/>
      <c r="AT163" s="31"/>
      <c r="AU163" s="61"/>
      <c r="AV163" s="60"/>
      <c r="AW163" s="31"/>
      <c r="AX163" s="61"/>
    </row>
    <row r="164" ht="39.75" customHeight="1">
      <c r="A164" s="62"/>
      <c r="B164" s="68"/>
      <c r="C164" s="105" t="str">
        <f>VLOOKUP(D164,[1]Saldo!A163:B31436,2,0)</f>
        <v>#ERROR!</v>
      </c>
      <c r="D164" s="68" t="s">
        <v>827</v>
      </c>
      <c r="E164" s="68" t="s">
        <v>785</v>
      </c>
      <c r="F164" s="149">
        <v>4.0</v>
      </c>
      <c r="G164" s="68">
        <v>6000.0</v>
      </c>
      <c r="H164" s="150">
        <f>'PAINEL DE CONTROLE'!$G$5</f>
        <v>28359</v>
      </c>
      <c r="I164" s="150">
        <v>24649.0</v>
      </c>
      <c r="J164" s="150">
        <f t="shared" si="3"/>
        <v>30649</v>
      </c>
      <c r="K164" s="151">
        <f t="shared" si="4"/>
        <v>2290</v>
      </c>
      <c r="L164" s="60"/>
      <c r="M164" s="31"/>
      <c r="N164" s="61"/>
      <c r="O164" s="60"/>
      <c r="P164" s="31"/>
      <c r="Q164" s="61"/>
      <c r="R164" s="60"/>
      <c r="S164" s="31"/>
      <c r="T164" s="61"/>
      <c r="U164" s="60"/>
      <c r="V164" s="31"/>
      <c r="W164" s="61"/>
      <c r="X164" s="60"/>
      <c r="Y164" s="31"/>
      <c r="Z164" s="61"/>
      <c r="AA164" s="60"/>
      <c r="AB164" s="31"/>
      <c r="AC164" s="61"/>
      <c r="AD164" s="60"/>
      <c r="AE164" s="31"/>
      <c r="AF164" s="61"/>
      <c r="AG164" s="60"/>
      <c r="AH164" s="31"/>
      <c r="AI164" s="61"/>
      <c r="AJ164" s="60"/>
      <c r="AK164" s="31"/>
      <c r="AL164" s="61"/>
      <c r="AM164" s="60"/>
      <c r="AN164" s="31"/>
      <c r="AO164" s="61"/>
      <c r="AP164" s="60"/>
      <c r="AQ164" s="31"/>
      <c r="AR164" s="61"/>
      <c r="AS164" s="60"/>
      <c r="AT164" s="31"/>
      <c r="AU164" s="61"/>
      <c r="AV164" s="60"/>
      <c r="AW164" s="31"/>
      <c r="AX164" s="61"/>
    </row>
    <row r="165" ht="39.75" customHeight="1">
      <c r="A165" s="62"/>
      <c r="B165" s="68"/>
      <c r="C165" s="105" t="str">
        <f>VLOOKUP(D165,[1]Saldo!A164:B31437,2,0)</f>
        <v>#ERROR!</v>
      </c>
      <c r="D165" s="68" t="s">
        <v>828</v>
      </c>
      <c r="E165" s="68" t="s">
        <v>829</v>
      </c>
      <c r="F165" s="149">
        <v>16.0</v>
      </c>
      <c r="G165" s="68">
        <v>6000.0</v>
      </c>
      <c r="H165" s="150">
        <f>'PAINEL DE CONTROLE'!$G$5</f>
        <v>28359</v>
      </c>
      <c r="I165" s="150">
        <v>24649.0</v>
      </c>
      <c r="J165" s="150">
        <f t="shared" si="3"/>
        <v>30649</v>
      </c>
      <c r="K165" s="151">
        <f t="shared" si="4"/>
        <v>2290</v>
      </c>
      <c r="L165" s="60"/>
      <c r="M165" s="31"/>
      <c r="N165" s="61"/>
      <c r="O165" s="60"/>
      <c r="P165" s="31"/>
      <c r="Q165" s="61"/>
      <c r="R165" s="60"/>
      <c r="S165" s="31"/>
      <c r="T165" s="61"/>
      <c r="U165" s="60"/>
      <c r="V165" s="31"/>
      <c r="W165" s="61"/>
      <c r="X165" s="60"/>
      <c r="Y165" s="31"/>
      <c r="Z165" s="61"/>
      <c r="AA165" s="60"/>
      <c r="AB165" s="31"/>
      <c r="AC165" s="61"/>
      <c r="AD165" s="60"/>
      <c r="AE165" s="31"/>
      <c r="AF165" s="61"/>
      <c r="AG165" s="60"/>
      <c r="AH165" s="31"/>
      <c r="AI165" s="61"/>
      <c r="AJ165" s="60"/>
      <c r="AK165" s="31"/>
      <c r="AL165" s="61"/>
      <c r="AM165" s="60"/>
      <c r="AN165" s="31"/>
      <c r="AO165" s="61"/>
      <c r="AP165" s="60"/>
      <c r="AQ165" s="31"/>
      <c r="AR165" s="61"/>
      <c r="AS165" s="60"/>
      <c r="AT165" s="31"/>
      <c r="AU165" s="61"/>
      <c r="AV165" s="60"/>
      <c r="AW165" s="31"/>
      <c r="AX165" s="61"/>
    </row>
    <row r="166" ht="39.75" customHeight="1">
      <c r="A166" s="62"/>
      <c r="B166" s="68"/>
      <c r="C166" s="105" t="str">
        <f>VLOOKUP(D166,[1]Saldo!A165:B31438,2,0)</f>
        <v>#ERROR!</v>
      </c>
      <c r="D166" s="68" t="s">
        <v>830</v>
      </c>
      <c r="E166" s="68" t="s">
        <v>672</v>
      </c>
      <c r="F166" s="149">
        <v>4.0</v>
      </c>
      <c r="G166" s="68">
        <v>6000.0</v>
      </c>
      <c r="H166" s="150">
        <f>'PAINEL DE CONTROLE'!$G$5</f>
        <v>28359</v>
      </c>
      <c r="I166" s="150">
        <v>24649.0</v>
      </c>
      <c r="J166" s="150">
        <f t="shared" si="3"/>
        <v>30649</v>
      </c>
      <c r="K166" s="151">
        <f t="shared" si="4"/>
        <v>2290</v>
      </c>
      <c r="L166" s="60"/>
      <c r="M166" s="31"/>
      <c r="N166" s="61"/>
      <c r="O166" s="60"/>
      <c r="P166" s="31"/>
      <c r="Q166" s="61"/>
      <c r="R166" s="60"/>
      <c r="S166" s="31"/>
      <c r="T166" s="61"/>
      <c r="U166" s="60"/>
      <c r="V166" s="31"/>
      <c r="W166" s="61"/>
      <c r="X166" s="60"/>
      <c r="Y166" s="31"/>
      <c r="Z166" s="61"/>
      <c r="AA166" s="60"/>
      <c r="AB166" s="31"/>
      <c r="AC166" s="61"/>
      <c r="AD166" s="60"/>
      <c r="AE166" s="31"/>
      <c r="AF166" s="61"/>
      <c r="AG166" s="60"/>
      <c r="AH166" s="31"/>
      <c r="AI166" s="61"/>
      <c r="AJ166" s="60"/>
      <c r="AK166" s="31"/>
      <c r="AL166" s="61"/>
      <c r="AM166" s="60"/>
      <c r="AN166" s="31"/>
      <c r="AO166" s="61"/>
      <c r="AP166" s="60"/>
      <c r="AQ166" s="31"/>
      <c r="AR166" s="61"/>
      <c r="AS166" s="60"/>
      <c r="AT166" s="31"/>
      <c r="AU166" s="61"/>
      <c r="AV166" s="60"/>
      <c r="AW166" s="31"/>
      <c r="AX166" s="61"/>
    </row>
    <row r="167" ht="39.75" customHeight="1">
      <c r="A167" s="62"/>
      <c r="B167" s="68"/>
      <c r="C167" s="105" t="str">
        <f>VLOOKUP(D167,[1]Saldo!A166:B31439,2,0)</f>
        <v>#ERROR!</v>
      </c>
      <c r="D167" s="68" t="s">
        <v>831</v>
      </c>
      <c r="E167" s="68" t="s">
        <v>804</v>
      </c>
      <c r="F167" s="149">
        <v>4.0</v>
      </c>
      <c r="G167" s="68">
        <v>6000.0</v>
      </c>
      <c r="H167" s="150">
        <f>'PAINEL DE CONTROLE'!$G$5</f>
        <v>28359</v>
      </c>
      <c r="I167" s="150">
        <v>24649.0</v>
      </c>
      <c r="J167" s="150">
        <f t="shared" si="3"/>
        <v>30649</v>
      </c>
      <c r="K167" s="151">
        <f t="shared" si="4"/>
        <v>2290</v>
      </c>
      <c r="L167" s="60"/>
      <c r="M167" s="31"/>
      <c r="N167" s="61"/>
      <c r="O167" s="60"/>
      <c r="P167" s="31"/>
      <c r="Q167" s="61"/>
      <c r="R167" s="60"/>
      <c r="S167" s="31"/>
      <c r="T167" s="61"/>
      <c r="U167" s="60"/>
      <c r="V167" s="31"/>
      <c r="W167" s="61"/>
      <c r="X167" s="60"/>
      <c r="Y167" s="31"/>
      <c r="Z167" s="61"/>
      <c r="AA167" s="60"/>
      <c r="AB167" s="31"/>
      <c r="AC167" s="61"/>
      <c r="AD167" s="60"/>
      <c r="AE167" s="31"/>
      <c r="AF167" s="61"/>
      <c r="AG167" s="60"/>
      <c r="AH167" s="31"/>
      <c r="AI167" s="61"/>
      <c r="AJ167" s="60"/>
      <c r="AK167" s="31"/>
      <c r="AL167" s="61"/>
      <c r="AM167" s="60"/>
      <c r="AN167" s="31"/>
      <c r="AO167" s="61"/>
      <c r="AP167" s="60"/>
      <c r="AQ167" s="31"/>
      <c r="AR167" s="61"/>
      <c r="AS167" s="60"/>
      <c r="AT167" s="31"/>
      <c r="AU167" s="61"/>
      <c r="AV167" s="60"/>
      <c r="AW167" s="31"/>
      <c r="AX167" s="61"/>
    </row>
    <row r="168" ht="39.75" customHeight="1">
      <c r="A168" s="62"/>
      <c r="B168" s="68"/>
      <c r="C168" s="105" t="str">
        <f>VLOOKUP(D168,[1]Saldo!A167:B31440,2,0)</f>
        <v>#ERROR!</v>
      </c>
      <c r="D168" s="68" t="s">
        <v>832</v>
      </c>
      <c r="E168" s="68" t="s">
        <v>672</v>
      </c>
      <c r="F168" s="149">
        <v>8.0</v>
      </c>
      <c r="G168" s="68">
        <v>6000.0</v>
      </c>
      <c r="H168" s="150">
        <f>'PAINEL DE CONTROLE'!$G$5</f>
        <v>28359</v>
      </c>
      <c r="I168" s="150">
        <v>24649.0</v>
      </c>
      <c r="J168" s="150">
        <f t="shared" si="3"/>
        <v>30649</v>
      </c>
      <c r="K168" s="151">
        <f t="shared" si="4"/>
        <v>2290</v>
      </c>
      <c r="L168" s="60"/>
      <c r="M168" s="31"/>
      <c r="N168" s="61"/>
      <c r="O168" s="60"/>
      <c r="P168" s="31"/>
      <c r="Q168" s="61"/>
      <c r="R168" s="60"/>
      <c r="S168" s="31"/>
      <c r="T168" s="61"/>
      <c r="U168" s="60"/>
      <c r="V168" s="31"/>
      <c r="W168" s="61"/>
      <c r="X168" s="60"/>
      <c r="Y168" s="31"/>
      <c r="Z168" s="61"/>
      <c r="AA168" s="60"/>
      <c r="AB168" s="31"/>
      <c r="AC168" s="61"/>
      <c r="AD168" s="60"/>
      <c r="AE168" s="31"/>
      <c r="AF168" s="61"/>
      <c r="AG168" s="60"/>
      <c r="AH168" s="31"/>
      <c r="AI168" s="61"/>
      <c r="AJ168" s="60"/>
      <c r="AK168" s="31"/>
      <c r="AL168" s="61"/>
      <c r="AM168" s="60"/>
      <c r="AN168" s="31"/>
      <c r="AO168" s="61"/>
      <c r="AP168" s="60"/>
      <c r="AQ168" s="31"/>
      <c r="AR168" s="61"/>
      <c r="AS168" s="60"/>
      <c r="AT168" s="31"/>
      <c r="AU168" s="61"/>
      <c r="AV168" s="60"/>
      <c r="AW168" s="31"/>
      <c r="AX168" s="61"/>
    </row>
    <row r="169" ht="39.75" customHeight="1">
      <c r="A169" s="62"/>
      <c r="B169" s="68"/>
      <c r="C169" s="105" t="str">
        <f>VLOOKUP(D169,[1]Saldo!A168:B31441,2,0)</f>
        <v>#ERROR!</v>
      </c>
      <c r="D169" s="68" t="s">
        <v>833</v>
      </c>
      <c r="E169" s="68" t="s">
        <v>834</v>
      </c>
      <c r="F169" s="149">
        <v>2.0</v>
      </c>
      <c r="G169" s="68">
        <v>6000.0</v>
      </c>
      <c r="H169" s="150">
        <f>'PAINEL DE CONTROLE'!$G$5</f>
        <v>28359</v>
      </c>
      <c r="I169" s="150">
        <v>24649.0</v>
      </c>
      <c r="J169" s="150">
        <f t="shared" si="3"/>
        <v>30649</v>
      </c>
      <c r="K169" s="151">
        <f t="shared" si="4"/>
        <v>2290</v>
      </c>
      <c r="L169" s="60"/>
      <c r="M169" s="31"/>
      <c r="N169" s="61"/>
      <c r="O169" s="60"/>
      <c r="P169" s="31"/>
      <c r="Q169" s="61"/>
      <c r="R169" s="60"/>
      <c r="S169" s="31"/>
      <c r="T169" s="61"/>
      <c r="U169" s="60"/>
      <c r="V169" s="31"/>
      <c r="W169" s="61"/>
      <c r="X169" s="60"/>
      <c r="Y169" s="31"/>
      <c r="Z169" s="61"/>
      <c r="AA169" s="60"/>
      <c r="AB169" s="31"/>
      <c r="AC169" s="61"/>
      <c r="AD169" s="60"/>
      <c r="AE169" s="31"/>
      <c r="AF169" s="61"/>
      <c r="AG169" s="60"/>
      <c r="AH169" s="31"/>
      <c r="AI169" s="61"/>
      <c r="AJ169" s="60"/>
      <c r="AK169" s="31"/>
      <c r="AL169" s="61"/>
      <c r="AM169" s="60"/>
      <c r="AN169" s="31"/>
      <c r="AO169" s="61"/>
      <c r="AP169" s="60"/>
      <c r="AQ169" s="31"/>
      <c r="AR169" s="61"/>
      <c r="AS169" s="60"/>
      <c r="AT169" s="31"/>
      <c r="AU169" s="61"/>
      <c r="AV169" s="60"/>
      <c r="AW169" s="31"/>
      <c r="AX169" s="61"/>
    </row>
    <row r="170" ht="39.75" customHeight="1">
      <c r="A170" s="62"/>
      <c r="B170" s="68"/>
      <c r="C170" s="105" t="str">
        <f>VLOOKUP(D170,[1]Saldo!A169:B31442,2,0)</f>
        <v>#ERROR!</v>
      </c>
      <c r="D170" s="68" t="s">
        <v>835</v>
      </c>
      <c r="E170" s="68" t="s">
        <v>672</v>
      </c>
      <c r="F170" s="149">
        <v>2.0</v>
      </c>
      <c r="G170" s="68">
        <v>6000.0</v>
      </c>
      <c r="H170" s="150">
        <f>'PAINEL DE CONTROLE'!$G$5</f>
        <v>28359</v>
      </c>
      <c r="I170" s="150">
        <v>24649.0</v>
      </c>
      <c r="J170" s="150">
        <f t="shared" si="3"/>
        <v>30649</v>
      </c>
      <c r="K170" s="151">
        <f t="shared" si="4"/>
        <v>2290</v>
      </c>
      <c r="L170" s="60"/>
      <c r="M170" s="31"/>
      <c r="N170" s="61"/>
      <c r="O170" s="60"/>
      <c r="P170" s="31"/>
      <c r="Q170" s="61"/>
      <c r="R170" s="60"/>
      <c r="S170" s="31"/>
      <c r="T170" s="61"/>
      <c r="U170" s="60"/>
      <c r="V170" s="31"/>
      <c r="W170" s="61"/>
      <c r="X170" s="60"/>
      <c r="Y170" s="31"/>
      <c r="Z170" s="61"/>
      <c r="AA170" s="60"/>
      <c r="AB170" s="31"/>
      <c r="AC170" s="61"/>
      <c r="AD170" s="60"/>
      <c r="AE170" s="31"/>
      <c r="AF170" s="61"/>
      <c r="AG170" s="60"/>
      <c r="AH170" s="31"/>
      <c r="AI170" s="61"/>
      <c r="AJ170" s="60"/>
      <c r="AK170" s="31"/>
      <c r="AL170" s="61"/>
      <c r="AM170" s="60"/>
      <c r="AN170" s="31"/>
      <c r="AO170" s="61"/>
      <c r="AP170" s="60"/>
      <c r="AQ170" s="31"/>
      <c r="AR170" s="61"/>
      <c r="AS170" s="60"/>
      <c r="AT170" s="31"/>
      <c r="AU170" s="61"/>
      <c r="AV170" s="60"/>
      <c r="AW170" s="31"/>
      <c r="AX170" s="61"/>
    </row>
    <row r="171" ht="39.75" customHeight="1">
      <c r="A171" s="62"/>
      <c r="B171" s="68"/>
      <c r="C171" s="105" t="str">
        <f>VLOOKUP(D171,[1]Saldo!A170:B31443,2,0)</f>
        <v>#ERROR!</v>
      </c>
      <c r="D171" s="68" t="s">
        <v>836</v>
      </c>
      <c r="E171" s="68" t="s">
        <v>791</v>
      </c>
      <c r="F171" s="149">
        <v>4.0</v>
      </c>
      <c r="G171" s="68">
        <v>6000.0</v>
      </c>
      <c r="H171" s="150">
        <f>'PAINEL DE CONTROLE'!$G$5</f>
        <v>28359</v>
      </c>
      <c r="I171" s="150">
        <v>24649.0</v>
      </c>
      <c r="J171" s="150">
        <f t="shared" si="3"/>
        <v>30649</v>
      </c>
      <c r="K171" s="151">
        <f t="shared" si="4"/>
        <v>2290</v>
      </c>
      <c r="L171" s="60"/>
      <c r="M171" s="31"/>
      <c r="N171" s="61"/>
      <c r="O171" s="60"/>
      <c r="P171" s="31"/>
      <c r="Q171" s="61"/>
      <c r="R171" s="60"/>
      <c r="S171" s="31"/>
      <c r="T171" s="61"/>
      <c r="U171" s="60"/>
      <c r="V171" s="31"/>
      <c r="W171" s="61"/>
      <c r="X171" s="60"/>
      <c r="Y171" s="31"/>
      <c r="Z171" s="61"/>
      <c r="AA171" s="60"/>
      <c r="AB171" s="31"/>
      <c r="AC171" s="61"/>
      <c r="AD171" s="60"/>
      <c r="AE171" s="31"/>
      <c r="AF171" s="61"/>
      <c r="AG171" s="60"/>
      <c r="AH171" s="31"/>
      <c r="AI171" s="61"/>
      <c r="AJ171" s="60"/>
      <c r="AK171" s="31"/>
      <c r="AL171" s="61"/>
      <c r="AM171" s="60"/>
      <c r="AN171" s="31"/>
      <c r="AO171" s="61"/>
      <c r="AP171" s="60"/>
      <c r="AQ171" s="31"/>
      <c r="AR171" s="61"/>
      <c r="AS171" s="60"/>
      <c r="AT171" s="31"/>
      <c r="AU171" s="61"/>
      <c r="AV171" s="60"/>
      <c r="AW171" s="31"/>
      <c r="AX171" s="61"/>
    </row>
    <row r="172" ht="39.75" customHeight="1">
      <c r="A172" s="62"/>
      <c r="B172" s="68"/>
      <c r="C172" s="105" t="str">
        <f>VLOOKUP(D172,[1]Saldo!A171:B31444,2,0)</f>
        <v>#ERROR!</v>
      </c>
      <c r="D172" s="68" t="s">
        <v>837</v>
      </c>
      <c r="E172" s="68" t="s">
        <v>834</v>
      </c>
      <c r="F172" s="149">
        <v>4.0</v>
      </c>
      <c r="G172" s="68">
        <v>6000.0</v>
      </c>
      <c r="H172" s="150">
        <f>'PAINEL DE CONTROLE'!$G$5</f>
        <v>28359</v>
      </c>
      <c r="I172" s="150">
        <v>24649.0</v>
      </c>
      <c r="J172" s="150">
        <f t="shared" si="3"/>
        <v>30649</v>
      </c>
      <c r="K172" s="151">
        <f t="shared" si="4"/>
        <v>2290</v>
      </c>
      <c r="L172" s="60"/>
      <c r="M172" s="31"/>
      <c r="N172" s="61"/>
      <c r="O172" s="60"/>
      <c r="P172" s="31"/>
      <c r="Q172" s="61"/>
      <c r="R172" s="60"/>
      <c r="S172" s="31"/>
      <c r="T172" s="61"/>
      <c r="U172" s="60"/>
      <c r="V172" s="31"/>
      <c r="W172" s="61"/>
      <c r="X172" s="60"/>
      <c r="Y172" s="31"/>
      <c r="Z172" s="61"/>
      <c r="AA172" s="60"/>
      <c r="AB172" s="31"/>
      <c r="AC172" s="61"/>
      <c r="AD172" s="60"/>
      <c r="AE172" s="31"/>
      <c r="AF172" s="61"/>
      <c r="AG172" s="60"/>
      <c r="AH172" s="31"/>
      <c r="AI172" s="61"/>
      <c r="AJ172" s="60"/>
      <c r="AK172" s="31"/>
      <c r="AL172" s="61"/>
      <c r="AM172" s="60"/>
      <c r="AN172" s="31"/>
      <c r="AO172" s="61"/>
      <c r="AP172" s="60"/>
      <c r="AQ172" s="31"/>
      <c r="AR172" s="61"/>
      <c r="AS172" s="60"/>
      <c r="AT172" s="31"/>
      <c r="AU172" s="61"/>
      <c r="AV172" s="60"/>
      <c r="AW172" s="31"/>
      <c r="AX172" s="61"/>
    </row>
    <row r="173" ht="39.75" customHeight="1">
      <c r="A173" s="62"/>
      <c r="B173" s="68"/>
      <c r="C173" s="105" t="str">
        <f>VLOOKUP(D173,[1]Saldo!A172:B31445,2,0)</f>
        <v>#ERROR!</v>
      </c>
      <c r="D173" s="68" t="s">
        <v>663</v>
      </c>
      <c r="E173" s="68" t="s">
        <v>664</v>
      </c>
      <c r="F173" s="149">
        <v>2.0</v>
      </c>
      <c r="G173" s="68">
        <v>6000.0</v>
      </c>
      <c r="H173" s="150">
        <f>'PAINEL DE CONTROLE'!$G$5</f>
        <v>28359</v>
      </c>
      <c r="I173" s="150">
        <v>24649.0</v>
      </c>
      <c r="J173" s="150">
        <f t="shared" si="3"/>
        <v>30649</v>
      </c>
      <c r="K173" s="151">
        <f t="shared" si="4"/>
        <v>2290</v>
      </c>
      <c r="L173" s="60"/>
      <c r="M173" s="31"/>
      <c r="N173" s="61"/>
      <c r="O173" s="60"/>
      <c r="P173" s="31"/>
      <c r="Q173" s="61"/>
      <c r="R173" s="60"/>
      <c r="S173" s="31"/>
      <c r="T173" s="61"/>
      <c r="U173" s="60"/>
      <c r="V173" s="31"/>
      <c r="W173" s="61"/>
      <c r="X173" s="60"/>
      <c r="Y173" s="31"/>
      <c r="Z173" s="61"/>
      <c r="AA173" s="60"/>
      <c r="AB173" s="31"/>
      <c r="AC173" s="61"/>
      <c r="AD173" s="60"/>
      <c r="AE173" s="31"/>
      <c r="AF173" s="61"/>
      <c r="AG173" s="60"/>
      <c r="AH173" s="31"/>
      <c r="AI173" s="61"/>
      <c r="AJ173" s="60"/>
      <c r="AK173" s="31"/>
      <c r="AL173" s="61"/>
      <c r="AM173" s="60"/>
      <c r="AN173" s="31"/>
      <c r="AO173" s="61"/>
      <c r="AP173" s="60"/>
      <c r="AQ173" s="31"/>
      <c r="AR173" s="61"/>
      <c r="AS173" s="60"/>
      <c r="AT173" s="31"/>
      <c r="AU173" s="61"/>
      <c r="AV173" s="60"/>
      <c r="AW173" s="31"/>
      <c r="AX173" s="61"/>
    </row>
    <row r="174" ht="39.75" customHeight="1">
      <c r="A174" s="62"/>
      <c r="B174" s="68"/>
      <c r="C174" s="105" t="str">
        <f>VLOOKUP(D174,[1]Saldo!A173:B31446,2,0)</f>
        <v>#ERROR!</v>
      </c>
      <c r="D174" s="68" t="s">
        <v>838</v>
      </c>
      <c r="E174" s="68" t="s">
        <v>750</v>
      </c>
      <c r="F174" s="149">
        <v>2.0</v>
      </c>
      <c r="G174" s="68">
        <v>6000.0</v>
      </c>
      <c r="H174" s="150">
        <f>'PAINEL DE CONTROLE'!$G$5</f>
        <v>28359</v>
      </c>
      <c r="I174" s="150">
        <v>24649.0</v>
      </c>
      <c r="J174" s="150">
        <f t="shared" si="3"/>
        <v>30649</v>
      </c>
      <c r="K174" s="151">
        <f t="shared" si="4"/>
        <v>2290</v>
      </c>
      <c r="L174" s="60"/>
      <c r="M174" s="31"/>
      <c r="N174" s="61"/>
      <c r="O174" s="60"/>
      <c r="P174" s="31"/>
      <c r="Q174" s="61"/>
      <c r="R174" s="60"/>
      <c r="S174" s="31"/>
      <c r="T174" s="61"/>
      <c r="U174" s="60"/>
      <c r="V174" s="31"/>
      <c r="W174" s="61"/>
      <c r="X174" s="60"/>
      <c r="Y174" s="31"/>
      <c r="Z174" s="61"/>
      <c r="AA174" s="60"/>
      <c r="AB174" s="31"/>
      <c r="AC174" s="61"/>
      <c r="AD174" s="60"/>
      <c r="AE174" s="31"/>
      <c r="AF174" s="61"/>
      <c r="AG174" s="60"/>
      <c r="AH174" s="31"/>
      <c r="AI174" s="61"/>
      <c r="AJ174" s="60"/>
      <c r="AK174" s="31"/>
      <c r="AL174" s="61"/>
      <c r="AM174" s="60"/>
      <c r="AN174" s="31"/>
      <c r="AO174" s="61"/>
      <c r="AP174" s="60"/>
      <c r="AQ174" s="31"/>
      <c r="AR174" s="61"/>
      <c r="AS174" s="60"/>
      <c r="AT174" s="31"/>
      <c r="AU174" s="61"/>
      <c r="AV174" s="60"/>
      <c r="AW174" s="31"/>
      <c r="AX174" s="61"/>
    </row>
    <row r="175" ht="39.75" customHeight="1">
      <c r="A175" s="62"/>
      <c r="B175" s="68"/>
      <c r="C175" s="105" t="str">
        <f>VLOOKUP(D175,[1]Saldo!A174:B31447,2,0)</f>
        <v>#ERROR!</v>
      </c>
      <c r="D175" s="68" t="s">
        <v>839</v>
      </c>
      <c r="E175" s="68" t="s">
        <v>804</v>
      </c>
      <c r="F175" s="149">
        <v>2.0</v>
      </c>
      <c r="G175" s="68">
        <v>6000.0</v>
      </c>
      <c r="H175" s="150">
        <f>'PAINEL DE CONTROLE'!$G$5</f>
        <v>28359</v>
      </c>
      <c r="I175" s="150">
        <v>24649.0</v>
      </c>
      <c r="J175" s="150">
        <f t="shared" si="3"/>
        <v>30649</v>
      </c>
      <c r="K175" s="151">
        <f t="shared" si="4"/>
        <v>2290</v>
      </c>
      <c r="L175" s="60"/>
      <c r="M175" s="31"/>
      <c r="N175" s="61"/>
      <c r="O175" s="60"/>
      <c r="P175" s="31"/>
      <c r="Q175" s="61"/>
      <c r="R175" s="60"/>
      <c r="S175" s="31"/>
      <c r="T175" s="61"/>
      <c r="U175" s="60"/>
      <c r="V175" s="31"/>
      <c r="W175" s="61"/>
      <c r="X175" s="60"/>
      <c r="Y175" s="31"/>
      <c r="Z175" s="61"/>
      <c r="AA175" s="60"/>
      <c r="AB175" s="31"/>
      <c r="AC175" s="61"/>
      <c r="AD175" s="60"/>
      <c r="AE175" s="31"/>
      <c r="AF175" s="61"/>
      <c r="AG175" s="60"/>
      <c r="AH175" s="31"/>
      <c r="AI175" s="61"/>
      <c r="AJ175" s="60"/>
      <c r="AK175" s="31"/>
      <c r="AL175" s="61"/>
      <c r="AM175" s="60"/>
      <c r="AN175" s="31"/>
      <c r="AO175" s="61"/>
      <c r="AP175" s="60"/>
      <c r="AQ175" s="31"/>
      <c r="AR175" s="61"/>
      <c r="AS175" s="60"/>
      <c r="AT175" s="31"/>
      <c r="AU175" s="61"/>
      <c r="AV175" s="60"/>
      <c r="AW175" s="31"/>
      <c r="AX175" s="61"/>
    </row>
    <row r="176" ht="39.75" customHeight="1">
      <c r="A176" s="62"/>
      <c r="B176" s="68"/>
      <c r="C176" s="105" t="str">
        <f>VLOOKUP(D176,[1]Saldo!A175:B31448,2,0)</f>
        <v>#ERROR!</v>
      </c>
      <c r="D176" s="68" t="s">
        <v>840</v>
      </c>
      <c r="E176" s="68" t="s">
        <v>750</v>
      </c>
      <c r="F176" s="149">
        <v>4.0</v>
      </c>
      <c r="G176" s="68">
        <v>6000.0</v>
      </c>
      <c r="H176" s="150">
        <f>'PAINEL DE CONTROLE'!$G$5</f>
        <v>28359</v>
      </c>
      <c r="I176" s="150">
        <v>24649.0</v>
      </c>
      <c r="J176" s="150">
        <f t="shared" si="3"/>
        <v>30649</v>
      </c>
      <c r="K176" s="151">
        <f t="shared" si="4"/>
        <v>2290</v>
      </c>
      <c r="L176" s="60"/>
      <c r="M176" s="31"/>
      <c r="N176" s="61"/>
      <c r="O176" s="60"/>
      <c r="P176" s="31"/>
      <c r="Q176" s="61"/>
      <c r="R176" s="60"/>
      <c r="S176" s="31"/>
      <c r="T176" s="61"/>
      <c r="U176" s="60"/>
      <c r="V176" s="31"/>
      <c r="W176" s="61"/>
      <c r="X176" s="60"/>
      <c r="Y176" s="31"/>
      <c r="Z176" s="61"/>
      <c r="AA176" s="60"/>
      <c r="AB176" s="31"/>
      <c r="AC176" s="61"/>
      <c r="AD176" s="60"/>
      <c r="AE176" s="31"/>
      <c r="AF176" s="61"/>
      <c r="AG176" s="60"/>
      <c r="AH176" s="31"/>
      <c r="AI176" s="61"/>
      <c r="AJ176" s="60"/>
      <c r="AK176" s="31"/>
      <c r="AL176" s="61"/>
      <c r="AM176" s="60"/>
      <c r="AN176" s="31"/>
      <c r="AO176" s="61"/>
      <c r="AP176" s="60"/>
      <c r="AQ176" s="31"/>
      <c r="AR176" s="61"/>
      <c r="AS176" s="60"/>
      <c r="AT176" s="31"/>
      <c r="AU176" s="61"/>
      <c r="AV176" s="60"/>
      <c r="AW176" s="31"/>
      <c r="AX176" s="61"/>
    </row>
    <row r="177" ht="39.75" customHeight="1">
      <c r="A177" s="62"/>
      <c r="B177" s="68"/>
      <c r="C177" s="105" t="str">
        <f>VLOOKUP(D177,[1]Saldo!A176:B31449,2,0)</f>
        <v>#ERROR!</v>
      </c>
      <c r="D177" s="68" t="s">
        <v>841</v>
      </c>
      <c r="E177" s="68" t="s">
        <v>842</v>
      </c>
      <c r="F177" s="149">
        <v>8.0</v>
      </c>
      <c r="G177" s="68">
        <v>6000.0</v>
      </c>
      <c r="H177" s="150">
        <f>'PAINEL DE CONTROLE'!$G$5</f>
        <v>28359</v>
      </c>
      <c r="I177" s="150">
        <v>24649.0</v>
      </c>
      <c r="J177" s="150">
        <f t="shared" si="3"/>
        <v>30649</v>
      </c>
      <c r="K177" s="151">
        <f t="shared" si="4"/>
        <v>2290</v>
      </c>
      <c r="L177" s="60"/>
      <c r="M177" s="31"/>
      <c r="N177" s="61"/>
      <c r="O177" s="60"/>
      <c r="P177" s="31"/>
      <c r="Q177" s="61"/>
      <c r="R177" s="60"/>
      <c r="S177" s="31"/>
      <c r="T177" s="61"/>
      <c r="U177" s="60"/>
      <c r="V177" s="31"/>
      <c r="W177" s="61"/>
      <c r="X177" s="60"/>
      <c r="Y177" s="31"/>
      <c r="Z177" s="61"/>
      <c r="AA177" s="60"/>
      <c r="AB177" s="31"/>
      <c r="AC177" s="61"/>
      <c r="AD177" s="60"/>
      <c r="AE177" s="31"/>
      <c r="AF177" s="61"/>
      <c r="AG177" s="60"/>
      <c r="AH177" s="31"/>
      <c r="AI177" s="61"/>
      <c r="AJ177" s="60"/>
      <c r="AK177" s="31"/>
      <c r="AL177" s="61"/>
      <c r="AM177" s="60"/>
      <c r="AN177" s="31"/>
      <c r="AO177" s="61"/>
      <c r="AP177" s="60"/>
      <c r="AQ177" s="31"/>
      <c r="AR177" s="61"/>
      <c r="AS177" s="60"/>
      <c r="AT177" s="31"/>
      <c r="AU177" s="61"/>
      <c r="AV177" s="60"/>
      <c r="AW177" s="31"/>
      <c r="AX177" s="61"/>
    </row>
    <row r="178" ht="39.75" customHeight="1">
      <c r="A178" s="62"/>
      <c r="B178" s="68"/>
      <c r="C178" s="105" t="str">
        <f>VLOOKUP(D178,[1]Saldo!A177:B31450,2,0)</f>
        <v>#ERROR!</v>
      </c>
      <c r="D178" s="68" t="s">
        <v>843</v>
      </c>
      <c r="E178" s="68" t="s">
        <v>791</v>
      </c>
      <c r="F178" s="149">
        <v>8.0</v>
      </c>
      <c r="G178" s="68">
        <v>6000.0</v>
      </c>
      <c r="H178" s="150">
        <f>'PAINEL DE CONTROLE'!$G$5</f>
        <v>28359</v>
      </c>
      <c r="I178" s="150">
        <v>24649.0</v>
      </c>
      <c r="J178" s="150">
        <f t="shared" si="3"/>
        <v>30649</v>
      </c>
      <c r="K178" s="151">
        <f t="shared" si="4"/>
        <v>2290</v>
      </c>
      <c r="L178" s="60"/>
      <c r="M178" s="31"/>
      <c r="N178" s="61"/>
      <c r="O178" s="60"/>
      <c r="P178" s="31"/>
      <c r="Q178" s="61"/>
      <c r="R178" s="60"/>
      <c r="S178" s="31"/>
      <c r="T178" s="61"/>
      <c r="U178" s="60"/>
      <c r="V178" s="31"/>
      <c r="W178" s="61"/>
      <c r="X178" s="60"/>
      <c r="Y178" s="31"/>
      <c r="Z178" s="61"/>
      <c r="AA178" s="60"/>
      <c r="AB178" s="31"/>
      <c r="AC178" s="61"/>
      <c r="AD178" s="60"/>
      <c r="AE178" s="31"/>
      <c r="AF178" s="61"/>
      <c r="AG178" s="60"/>
      <c r="AH178" s="31"/>
      <c r="AI178" s="61"/>
      <c r="AJ178" s="60"/>
      <c r="AK178" s="31"/>
      <c r="AL178" s="61"/>
      <c r="AM178" s="60"/>
      <c r="AN178" s="31"/>
      <c r="AO178" s="61"/>
      <c r="AP178" s="60"/>
      <c r="AQ178" s="31"/>
      <c r="AR178" s="61"/>
      <c r="AS178" s="60"/>
      <c r="AT178" s="31"/>
      <c r="AU178" s="61"/>
      <c r="AV178" s="60"/>
      <c r="AW178" s="31"/>
      <c r="AX178" s="61"/>
    </row>
    <row r="179" ht="39.75" customHeight="1">
      <c r="A179" s="62"/>
      <c r="B179" s="68"/>
      <c r="C179" s="105" t="str">
        <f>VLOOKUP(D179,[1]Saldo!A178:B31451,2,0)</f>
        <v>#ERROR!</v>
      </c>
      <c r="D179" s="68" t="s">
        <v>844</v>
      </c>
      <c r="E179" s="68" t="s">
        <v>845</v>
      </c>
      <c r="F179" s="149">
        <v>4.0</v>
      </c>
      <c r="G179" s="68">
        <v>12000.0</v>
      </c>
      <c r="H179" s="150">
        <f>'PAINEL DE CONTROLE'!$G$5</f>
        <v>28359</v>
      </c>
      <c r="I179" s="150">
        <v>24649.0</v>
      </c>
      <c r="J179" s="150">
        <f t="shared" si="3"/>
        <v>36649</v>
      </c>
      <c r="K179" s="151">
        <f t="shared" si="4"/>
        <v>8290</v>
      </c>
      <c r="L179" s="60"/>
      <c r="M179" s="31"/>
      <c r="N179" s="61"/>
      <c r="O179" s="60"/>
      <c r="P179" s="31"/>
      <c r="Q179" s="61"/>
      <c r="R179" s="60"/>
      <c r="S179" s="31"/>
      <c r="T179" s="61"/>
      <c r="U179" s="60"/>
      <c r="V179" s="31"/>
      <c r="W179" s="61"/>
      <c r="X179" s="60"/>
      <c r="Y179" s="31"/>
      <c r="Z179" s="61"/>
      <c r="AA179" s="60"/>
      <c r="AB179" s="31"/>
      <c r="AC179" s="61"/>
      <c r="AD179" s="60"/>
      <c r="AE179" s="31"/>
      <c r="AF179" s="61"/>
      <c r="AG179" s="60"/>
      <c r="AH179" s="31"/>
      <c r="AI179" s="61"/>
      <c r="AJ179" s="60"/>
      <c r="AK179" s="31"/>
      <c r="AL179" s="61"/>
      <c r="AM179" s="60"/>
      <c r="AN179" s="31"/>
      <c r="AO179" s="61"/>
      <c r="AP179" s="60"/>
      <c r="AQ179" s="31"/>
      <c r="AR179" s="61"/>
      <c r="AS179" s="60"/>
      <c r="AT179" s="31"/>
      <c r="AU179" s="61"/>
      <c r="AV179" s="60"/>
      <c r="AW179" s="31"/>
      <c r="AX179" s="61"/>
    </row>
    <row r="180" ht="39.75" customHeight="1">
      <c r="A180" s="62"/>
      <c r="B180" s="68"/>
      <c r="C180" s="105" t="str">
        <f>VLOOKUP(D180,[1]Saldo!A179:B31452,2,0)</f>
        <v>#ERROR!</v>
      </c>
      <c r="D180" s="68" t="s">
        <v>846</v>
      </c>
      <c r="E180" s="68" t="s">
        <v>785</v>
      </c>
      <c r="F180" s="149">
        <v>4.0</v>
      </c>
      <c r="G180" s="68">
        <v>12000.0</v>
      </c>
      <c r="H180" s="150">
        <f>'PAINEL DE CONTROLE'!$G$5</f>
        <v>28359</v>
      </c>
      <c r="I180" s="150">
        <v>24649.0</v>
      </c>
      <c r="J180" s="150">
        <f t="shared" si="3"/>
        <v>36649</v>
      </c>
      <c r="K180" s="151">
        <f t="shared" si="4"/>
        <v>8290</v>
      </c>
      <c r="L180" s="60"/>
      <c r="M180" s="31"/>
      <c r="N180" s="61"/>
      <c r="O180" s="60"/>
      <c r="P180" s="31"/>
      <c r="Q180" s="61"/>
      <c r="R180" s="60"/>
      <c r="S180" s="31"/>
      <c r="T180" s="61"/>
      <c r="U180" s="60"/>
      <c r="V180" s="31"/>
      <c r="W180" s="61"/>
      <c r="X180" s="60"/>
      <c r="Y180" s="31"/>
      <c r="Z180" s="61"/>
      <c r="AA180" s="60"/>
      <c r="AB180" s="31"/>
      <c r="AC180" s="61"/>
      <c r="AD180" s="60"/>
      <c r="AE180" s="31"/>
      <c r="AF180" s="61"/>
      <c r="AG180" s="60"/>
      <c r="AH180" s="31"/>
      <c r="AI180" s="61"/>
      <c r="AJ180" s="60"/>
      <c r="AK180" s="31"/>
      <c r="AL180" s="61"/>
      <c r="AM180" s="60"/>
      <c r="AN180" s="31"/>
      <c r="AO180" s="61"/>
      <c r="AP180" s="60"/>
      <c r="AQ180" s="31"/>
      <c r="AR180" s="61"/>
      <c r="AS180" s="60"/>
      <c r="AT180" s="31"/>
      <c r="AU180" s="61"/>
      <c r="AV180" s="60"/>
      <c r="AW180" s="31"/>
      <c r="AX180" s="61"/>
    </row>
    <row r="181" ht="39.75" customHeight="1">
      <c r="A181" s="63"/>
      <c r="B181" s="68"/>
      <c r="C181" s="105" t="str">
        <f>VLOOKUP(D181,[1]Saldo!A180:B31453,2,0)</f>
        <v>#ERROR!</v>
      </c>
      <c r="D181" s="68" t="s">
        <v>847</v>
      </c>
      <c r="E181" s="68" t="s">
        <v>848</v>
      </c>
      <c r="F181" s="149">
        <v>4.0</v>
      </c>
      <c r="G181" s="68">
        <v>12000.0</v>
      </c>
      <c r="H181" s="150">
        <f>'PAINEL DE CONTROLE'!$G$5</f>
        <v>28359</v>
      </c>
      <c r="I181" s="150">
        <v>24649.0</v>
      </c>
      <c r="J181" s="150">
        <f t="shared" si="3"/>
        <v>36649</v>
      </c>
      <c r="K181" s="151">
        <f t="shared" si="4"/>
        <v>8290</v>
      </c>
      <c r="L181" s="60"/>
      <c r="M181" s="31"/>
      <c r="N181" s="61"/>
      <c r="O181" s="60"/>
      <c r="P181" s="31"/>
      <c r="Q181" s="61"/>
      <c r="R181" s="60"/>
      <c r="S181" s="31"/>
      <c r="T181" s="61"/>
      <c r="U181" s="60"/>
      <c r="V181" s="31"/>
      <c r="W181" s="61"/>
      <c r="X181" s="60"/>
      <c r="Y181" s="31"/>
      <c r="Z181" s="61"/>
      <c r="AA181" s="60"/>
      <c r="AB181" s="31"/>
      <c r="AC181" s="61"/>
      <c r="AD181" s="60"/>
      <c r="AE181" s="31"/>
      <c r="AF181" s="61"/>
      <c r="AG181" s="60"/>
      <c r="AH181" s="31"/>
      <c r="AI181" s="61"/>
      <c r="AJ181" s="60"/>
      <c r="AK181" s="31"/>
      <c r="AL181" s="61"/>
      <c r="AM181" s="60"/>
      <c r="AN181" s="31"/>
      <c r="AO181" s="61"/>
      <c r="AP181" s="60"/>
      <c r="AQ181" s="31"/>
      <c r="AR181" s="61"/>
      <c r="AS181" s="60"/>
      <c r="AT181" s="31"/>
      <c r="AU181" s="61"/>
      <c r="AV181" s="60"/>
      <c r="AW181" s="31"/>
      <c r="AX181" s="61"/>
    </row>
    <row r="182" ht="39.75" customHeight="1">
      <c r="A182" s="158" t="s">
        <v>61</v>
      </c>
      <c r="B182" s="68"/>
      <c r="C182" s="105" t="str">
        <f>VLOOKUP(D182,[1]Saldo!A181:B31454,2,0)</f>
        <v>#ERROR!</v>
      </c>
      <c r="D182" s="68" t="s">
        <v>849</v>
      </c>
      <c r="E182" s="68" t="s">
        <v>850</v>
      </c>
      <c r="F182" s="149">
        <v>4.0</v>
      </c>
      <c r="G182" s="68">
        <v>6000.0</v>
      </c>
      <c r="H182" s="150">
        <f>'PAINEL DE CONTROLE'!$G$5</f>
        <v>28359</v>
      </c>
      <c r="I182" s="150">
        <v>24649.0</v>
      </c>
      <c r="J182" s="150">
        <f t="shared" si="3"/>
        <v>30649</v>
      </c>
      <c r="K182" s="151">
        <f t="shared" si="4"/>
        <v>2290</v>
      </c>
      <c r="L182" s="60"/>
      <c r="M182" s="31"/>
      <c r="N182" s="61"/>
      <c r="O182" s="60"/>
      <c r="P182" s="31"/>
      <c r="Q182" s="61"/>
      <c r="R182" s="60"/>
      <c r="S182" s="31"/>
      <c r="T182" s="61"/>
      <c r="U182" s="60"/>
      <c r="V182" s="31"/>
      <c r="W182" s="61"/>
      <c r="X182" s="60"/>
      <c r="Y182" s="31"/>
      <c r="Z182" s="61"/>
      <c r="AA182" s="60"/>
      <c r="AB182" s="31"/>
      <c r="AC182" s="61"/>
      <c r="AD182" s="60"/>
      <c r="AE182" s="31"/>
      <c r="AF182" s="61"/>
      <c r="AG182" s="60"/>
      <c r="AH182" s="31"/>
      <c r="AI182" s="61"/>
      <c r="AJ182" s="60"/>
      <c r="AK182" s="31"/>
      <c r="AL182" s="61"/>
      <c r="AM182" s="60"/>
      <c r="AN182" s="31"/>
      <c r="AO182" s="61"/>
      <c r="AP182" s="60"/>
      <c r="AQ182" s="31"/>
      <c r="AR182" s="61"/>
      <c r="AS182" s="60"/>
      <c r="AT182" s="31"/>
      <c r="AU182" s="61"/>
      <c r="AV182" s="60"/>
      <c r="AW182" s="31"/>
      <c r="AX182" s="61"/>
    </row>
    <row r="183" ht="39.75" customHeight="1">
      <c r="A183" s="63"/>
      <c r="B183" s="68"/>
      <c r="C183" s="105" t="str">
        <f>VLOOKUP(D183,[1]Saldo!A182:B31455,2,0)</f>
        <v>#ERROR!</v>
      </c>
      <c r="D183" s="68" t="s">
        <v>851</v>
      </c>
      <c r="E183" s="68" t="s">
        <v>852</v>
      </c>
      <c r="F183" s="149">
        <v>4.0</v>
      </c>
      <c r="G183" s="68">
        <v>6000.0</v>
      </c>
      <c r="H183" s="150">
        <f>'PAINEL DE CONTROLE'!$G$5</f>
        <v>28359</v>
      </c>
      <c r="I183" s="150">
        <v>24649.0</v>
      </c>
      <c r="J183" s="150">
        <f t="shared" si="3"/>
        <v>30649</v>
      </c>
      <c r="K183" s="151">
        <f t="shared" si="4"/>
        <v>2290</v>
      </c>
      <c r="L183" s="60"/>
      <c r="M183" s="31"/>
      <c r="N183" s="61"/>
      <c r="O183" s="60"/>
      <c r="P183" s="31"/>
      <c r="Q183" s="61"/>
      <c r="R183" s="60"/>
      <c r="S183" s="31"/>
      <c r="T183" s="61"/>
      <c r="U183" s="60"/>
      <c r="V183" s="31"/>
      <c r="W183" s="61"/>
      <c r="X183" s="60"/>
      <c r="Y183" s="31"/>
      <c r="Z183" s="61"/>
      <c r="AA183" s="60"/>
      <c r="AB183" s="31"/>
      <c r="AC183" s="61"/>
      <c r="AD183" s="60"/>
      <c r="AE183" s="31"/>
      <c r="AF183" s="61"/>
      <c r="AG183" s="60"/>
      <c r="AH183" s="31"/>
      <c r="AI183" s="61"/>
      <c r="AJ183" s="60"/>
      <c r="AK183" s="31"/>
      <c r="AL183" s="61"/>
      <c r="AM183" s="60"/>
      <c r="AN183" s="31"/>
      <c r="AO183" s="61"/>
      <c r="AP183" s="60"/>
      <c r="AQ183" s="31"/>
      <c r="AR183" s="61"/>
      <c r="AS183" s="60"/>
      <c r="AT183" s="31"/>
      <c r="AU183" s="61"/>
      <c r="AV183" s="60"/>
      <c r="AW183" s="31"/>
      <c r="AX183" s="61"/>
    </row>
    <row r="184" ht="39.75" customHeight="1">
      <c r="A184" s="147" t="s">
        <v>62</v>
      </c>
      <c r="B184" s="156"/>
      <c r="C184" s="105" t="str">
        <f>VLOOKUP(D184,[1]Saldo!A183:B31456,2,0)</f>
        <v>#ERROR!</v>
      </c>
      <c r="D184" s="68" t="s">
        <v>853</v>
      </c>
      <c r="E184" s="68" t="s">
        <v>796</v>
      </c>
      <c r="F184" s="149">
        <v>4.0</v>
      </c>
      <c r="G184" s="68">
        <v>2000.0</v>
      </c>
      <c r="H184" s="150">
        <f>'PAINEL DE CONTROLE'!$G$5</f>
        <v>28359</v>
      </c>
      <c r="I184" s="150">
        <v>24649.0</v>
      </c>
      <c r="J184" s="150">
        <f t="shared" si="3"/>
        <v>26649</v>
      </c>
      <c r="K184" s="151">
        <f t="shared" si="4"/>
        <v>-1710</v>
      </c>
      <c r="L184" s="60"/>
      <c r="M184" s="31"/>
      <c r="N184" s="61"/>
      <c r="O184" s="60"/>
      <c r="P184" s="31"/>
      <c r="Q184" s="61"/>
      <c r="R184" s="60"/>
      <c r="S184" s="31"/>
      <c r="T184" s="61"/>
      <c r="U184" s="60"/>
      <c r="V184" s="31"/>
      <c r="W184" s="61"/>
      <c r="X184" s="60"/>
      <c r="Y184" s="31"/>
      <c r="Z184" s="61"/>
      <c r="AA184" s="60"/>
      <c r="AB184" s="31"/>
      <c r="AC184" s="61"/>
      <c r="AD184" s="60"/>
      <c r="AE184" s="31"/>
      <c r="AF184" s="61"/>
      <c r="AG184" s="60"/>
      <c r="AH184" s="31"/>
      <c r="AI184" s="61"/>
      <c r="AJ184" s="60"/>
      <c r="AK184" s="31"/>
      <c r="AL184" s="61"/>
      <c r="AM184" s="60"/>
      <c r="AN184" s="31"/>
      <c r="AO184" s="61"/>
      <c r="AP184" s="60"/>
      <c r="AQ184" s="31"/>
      <c r="AR184" s="61"/>
      <c r="AS184" s="60"/>
      <c r="AT184" s="31"/>
      <c r="AU184" s="61"/>
      <c r="AV184" s="60"/>
      <c r="AW184" s="31"/>
      <c r="AX184" s="61"/>
    </row>
    <row r="185" ht="39.75" customHeight="1">
      <c r="A185" s="62"/>
      <c r="B185" s="156"/>
      <c r="C185" s="105" t="str">
        <f>VLOOKUP(D185,[1]Saldo!A184:B31457,2,0)</f>
        <v>#ERROR!</v>
      </c>
      <c r="D185" s="68" t="s">
        <v>854</v>
      </c>
      <c r="E185" s="68" t="s">
        <v>581</v>
      </c>
      <c r="F185" s="149">
        <v>1.0</v>
      </c>
      <c r="G185" s="68">
        <v>2000.0</v>
      </c>
      <c r="H185" s="150">
        <f>'PAINEL DE CONTROLE'!$G$5</f>
        <v>28359</v>
      </c>
      <c r="I185" s="150">
        <v>24649.0</v>
      </c>
      <c r="J185" s="150">
        <f t="shared" si="3"/>
        <v>26649</v>
      </c>
      <c r="K185" s="151">
        <f t="shared" si="4"/>
        <v>-1710</v>
      </c>
      <c r="L185" s="60"/>
      <c r="M185" s="31"/>
      <c r="N185" s="61"/>
      <c r="O185" s="60"/>
      <c r="P185" s="31"/>
      <c r="Q185" s="61"/>
      <c r="R185" s="60"/>
      <c r="S185" s="31"/>
      <c r="T185" s="61"/>
      <c r="U185" s="60"/>
      <c r="V185" s="31"/>
      <c r="W185" s="61"/>
      <c r="X185" s="60"/>
      <c r="Y185" s="31"/>
      <c r="Z185" s="61"/>
      <c r="AA185" s="60"/>
      <c r="AB185" s="31"/>
      <c r="AC185" s="61"/>
      <c r="AD185" s="60"/>
      <c r="AE185" s="31"/>
      <c r="AF185" s="61"/>
      <c r="AG185" s="60"/>
      <c r="AH185" s="31"/>
      <c r="AI185" s="61"/>
      <c r="AJ185" s="60"/>
      <c r="AK185" s="31"/>
      <c r="AL185" s="61"/>
      <c r="AM185" s="60"/>
      <c r="AN185" s="31"/>
      <c r="AO185" s="61"/>
      <c r="AP185" s="60"/>
      <c r="AQ185" s="31"/>
      <c r="AR185" s="61"/>
      <c r="AS185" s="60"/>
      <c r="AT185" s="31"/>
      <c r="AU185" s="61"/>
      <c r="AV185" s="60"/>
      <c r="AW185" s="31"/>
      <c r="AX185" s="61"/>
    </row>
    <row r="186" ht="39.75" customHeight="1">
      <c r="A186" s="62"/>
      <c r="B186" s="156"/>
      <c r="C186" s="105" t="str">
        <f>VLOOKUP(D186,[1]Saldo!A185:B31458,2,0)</f>
        <v>#ERROR!</v>
      </c>
      <c r="D186" s="68" t="s">
        <v>855</v>
      </c>
      <c r="E186" s="68" t="s">
        <v>581</v>
      </c>
      <c r="F186" s="149">
        <v>1.0</v>
      </c>
      <c r="G186" s="68">
        <v>2000.0</v>
      </c>
      <c r="H186" s="150">
        <f>'PAINEL DE CONTROLE'!$G$5</f>
        <v>28359</v>
      </c>
      <c r="I186" s="150">
        <v>24649.0</v>
      </c>
      <c r="J186" s="150">
        <f t="shared" si="3"/>
        <v>26649</v>
      </c>
      <c r="K186" s="151">
        <f t="shared" si="4"/>
        <v>-1710</v>
      </c>
      <c r="L186" s="60"/>
      <c r="M186" s="31"/>
      <c r="N186" s="61"/>
      <c r="O186" s="60"/>
      <c r="P186" s="31"/>
      <c r="Q186" s="61"/>
      <c r="R186" s="60"/>
      <c r="S186" s="31"/>
      <c r="T186" s="61"/>
      <c r="U186" s="60"/>
      <c r="V186" s="31"/>
      <c r="W186" s="61"/>
      <c r="X186" s="60"/>
      <c r="Y186" s="31"/>
      <c r="Z186" s="61"/>
      <c r="AA186" s="60"/>
      <c r="AB186" s="31"/>
      <c r="AC186" s="61"/>
      <c r="AD186" s="60"/>
      <c r="AE186" s="31"/>
      <c r="AF186" s="61"/>
      <c r="AG186" s="60"/>
      <c r="AH186" s="31"/>
      <c r="AI186" s="61"/>
      <c r="AJ186" s="60"/>
      <c r="AK186" s="31"/>
      <c r="AL186" s="61"/>
      <c r="AM186" s="60"/>
      <c r="AN186" s="31"/>
      <c r="AO186" s="61"/>
      <c r="AP186" s="60"/>
      <c r="AQ186" s="31"/>
      <c r="AR186" s="61"/>
      <c r="AS186" s="60"/>
      <c r="AT186" s="31"/>
      <c r="AU186" s="61"/>
      <c r="AV186" s="60"/>
      <c r="AW186" s="31"/>
      <c r="AX186" s="61"/>
    </row>
    <row r="187" ht="39.75" customHeight="1">
      <c r="A187" s="62"/>
      <c r="B187" s="156"/>
      <c r="C187" s="105" t="str">
        <f>VLOOKUP(D187,[1]Saldo!A186:B31459,2,0)</f>
        <v>#ERROR!</v>
      </c>
      <c r="D187" s="68" t="s">
        <v>856</v>
      </c>
      <c r="E187" s="68" t="s">
        <v>857</v>
      </c>
      <c r="F187" s="149">
        <v>1.0</v>
      </c>
      <c r="G187" s="68">
        <v>2000.0</v>
      </c>
      <c r="H187" s="150">
        <f>'PAINEL DE CONTROLE'!$G$5</f>
        <v>28359</v>
      </c>
      <c r="I187" s="150">
        <v>24649.0</v>
      </c>
      <c r="J187" s="150">
        <f t="shared" si="3"/>
        <v>26649</v>
      </c>
      <c r="K187" s="151">
        <f t="shared" si="4"/>
        <v>-1710</v>
      </c>
      <c r="L187" s="60"/>
      <c r="M187" s="31"/>
      <c r="N187" s="61"/>
      <c r="O187" s="60"/>
      <c r="P187" s="31"/>
      <c r="Q187" s="61"/>
      <c r="R187" s="60"/>
      <c r="S187" s="31"/>
      <c r="T187" s="61"/>
      <c r="U187" s="60"/>
      <c r="V187" s="31"/>
      <c r="W187" s="61"/>
      <c r="X187" s="60"/>
      <c r="Y187" s="31"/>
      <c r="Z187" s="61"/>
      <c r="AA187" s="60"/>
      <c r="AB187" s="31"/>
      <c r="AC187" s="61"/>
      <c r="AD187" s="60"/>
      <c r="AE187" s="31"/>
      <c r="AF187" s="61"/>
      <c r="AG187" s="60"/>
      <c r="AH187" s="31"/>
      <c r="AI187" s="61"/>
      <c r="AJ187" s="60"/>
      <c r="AK187" s="31"/>
      <c r="AL187" s="61"/>
      <c r="AM187" s="60"/>
      <c r="AN187" s="31"/>
      <c r="AO187" s="61"/>
      <c r="AP187" s="60"/>
      <c r="AQ187" s="31"/>
      <c r="AR187" s="61"/>
      <c r="AS187" s="60"/>
      <c r="AT187" s="31"/>
      <c r="AU187" s="61"/>
      <c r="AV187" s="60"/>
      <c r="AW187" s="31"/>
      <c r="AX187" s="61"/>
    </row>
    <row r="188" ht="39.75" customHeight="1">
      <c r="A188" s="62"/>
      <c r="B188" s="156"/>
      <c r="C188" s="105" t="str">
        <f>VLOOKUP(D188,[1]Saldo!A187:B31460,2,0)</f>
        <v>#ERROR!</v>
      </c>
      <c r="D188" s="68" t="s">
        <v>858</v>
      </c>
      <c r="E188" s="68" t="s">
        <v>796</v>
      </c>
      <c r="F188" s="149">
        <v>1.0</v>
      </c>
      <c r="G188" s="68">
        <v>2000.0</v>
      </c>
      <c r="H188" s="150">
        <f>'PAINEL DE CONTROLE'!$G$5</f>
        <v>28359</v>
      </c>
      <c r="I188" s="150">
        <v>24649.0</v>
      </c>
      <c r="J188" s="150">
        <f t="shared" si="3"/>
        <v>26649</v>
      </c>
      <c r="K188" s="151">
        <f t="shared" si="4"/>
        <v>-1710</v>
      </c>
      <c r="L188" s="60"/>
      <c r="M188" s="31"/>
      <c r="N188" s="61"/>
      <c r="O188" s="60"/>
      <c r="P188" s="31"/>
      <c r="Q188" s="61"/>
      <c r="R188" s="60"/>
      <c r="S188" s="31"/>
      <c r="T188" s="61"/>
      <c r="U188" s="60"/>
      <c r="V188" s="31"/>
      <c r="W188" s="61"/>
      <c r="X188" s="60"/>
      <c r="Y188" s="31"/>
      <c r="Z188" s="61"/>
      <c r="AA188" s="60"/>
      <c r="AB188" s="31"/>
      <c r="AC188" s="61"/>
      <c r="AD188" s="60"/>
      <c r="AE188" s="31"/>
      <c r="AF188" s="61"/>
      <c r="AG188" s="60"/>
      <c r="AH188" s="31"/>
      <c r="AI188" s="61"/>
      <c r="AJ188" s="60"/>
      <c r="AK188" s="31"/>
      <c r="AL188" s="61"/>
      <c r="AM188" s="60"/>
      <c r="AN188" s="31"/>
      <c r="AO188" s="61"/>
      <c r="AP188" s="60"/>
      <c r="AQ188" s="31"/>
      <c r="AR188" s="61"/>
      <c r="AS188" s="60"/>
      <c r="AT188" s="31"/>
      <c r="AU188" s="61"/>
      <c r="AV188" s="60"/>
      <c r="AW188" s="31"/>
      <c r="AX188" s="61"/>
    </row>
    <row r="189" ht="39.75" customHeight="1">
      <c r="A189" s="62"/>
      <c r="B189" s="156"/>
      <c r="C189" s="105" t="str">
        <f>VLOOKUP(D189,[1]Saldo!A188:B31461,2,0)</f>
        <v>#ERROR!</v>
      </c>
      <c r="D189" s="68" t="s">
        <v>859</v>
      </c>
      <c r="E189" s="68" t="s">
        <v>714</v>
      </c>
      <c r="F189" s="149">
        <v>1.0</v>
      </c>
      <c r="G189" s="68">
        <v>2000.0</v>
      </c>
      <c r="H189" s="150">
        <f>'PAINEL DE CONTROLE'!$G$5</f>
        <v>28359</v>
      </c>
      <c r="I189" s="150">
        <v>24649.0</v>
      </c>
      <c r="J189" s="150">
        <f t="shared" si="3"/>
        <v>26649</v>
      </c>
      <c r="K189" s="151">
        <f t="shared" si="4"/>
        <v>-1710</v>
      </c>
      <c r="L189" s="60"/>
      <c r="M189" s="31"/>
      <c r="N189" s="61"/>
      <c r="O189" s="60"/>
      <c r="P189" s="31"/>
      <c r="Q189" s="61"/>
      <c r="R189" s="60"/>
      <c r="S189" s="31"/>
      <c r="T189" s="61"/>
      <c r="U189" s="60"/>
      <c r="V189" s="31"/>
      <c r="W189" s="61"/>
      <c r="X189" s="60"/>
      <c r="Y189" s="31"/>
      <c r="Z189" s="61"/>
      <c r="AA189" s="60"/>
      <c r="AB189" s="31"/>
      <c r="AC189" s="61"/>
      <c r="AD189" s="60"/>
      <c r="AE189" s="31"/>
      <c r="AF189" s="61"/>
      <c r="AG189" s="60"/>
      <c r="AH189" s="31"/>
      <c r="AI189" s="61"/>
      <c r="AJ189" s="60"/>
      <c r="AK189" s="31"/>
      <c r="AL189" s="61"/>
      <c r="AM189" s="60"/>
      <c r="AN189" s="31"/>
      <c r="AO189" s="61"/>
      <c r="AP189" s="60"/>
      <c r="AQ189" s="31"/>
      <c r="AR189" s="61"/>
      <c r="AS189" s="60"/>
      <c r="AT189" s="31"/>
      <c r="AU189" s="61"/>
      <c r="AV189" s="60"/>
      <c r="AW189" s="31"/>
      <c r="AX189" s="61"/>
    </row>
    <row r="190" ht="39.75" customHeight="1">
      <c r="A190" s="62"/>
      <c r="B190" s="156"/>
      <c r="C190" s="105" t="str">
        <f>VLOOKUP(D190,[1]Saldo!A189:B31462,2,0)</f>
        <v>#ERROR!</v>
      </c>
      <c r="D190" s="68" t="s">
        <v>860</v>
      </c>
      <c r="E190" s="68" t="s">
        <v>714</v>
      </c>
      <c r="F190" s="149">
        <v>1.0</v>
      </c>
      <c r="G190" s="68">
        <v>2000.0</v>
      </c>
      <c r="H190" s="150">
        <f>'PAINEL DE CONTROLE'!$G$5</f>
        <v>28359</v>
      </c>
      <c r="I190" s="150">
        <v>24649.0</v>
      </c>
      <c r="J190" s="150">
        <f t="shared" si="3"/>
        <v>26649</v>
      </c>
      <c r="K190" s="151">
        <f t="shared" si="4"/>
        <v>-1710</v>
      </c>
      <c r="L190" s="60"/>
      <c r="M190" s="31"/>
      <c r="N190" s="61"/>
      <c r="O190" s="60"/>
      <c r="P190" s="31"/>
      <c r="Q190" s="61"/>
      <c r="R190" s="60"/>
      <c r="S190" s="31"/>
      <c r="T190" s="61"/>
      <c r="U190" s="60"/>
      <c r="V190" s="31"/>
      <c r="W190" s="61"/>
      <c r="X190" s="60"/>
      <c r="Y190" s="31"/>
      <c r="Z190" s="61"/>
      <c r="AA190" s="60"/>
      <c r="AB190" s="31"/>
      <c r="AC190" s="61"/>
      <c r="AD190" s="60"/>
      <c r="AE190" s="31"/>
      <c r="AF190" s="61"/>
      <c r="AG190" s="60"/>
      <c r="AH190" s="31"/>
      <c r="AI190" s="61"/>
      <c r="AJ190" s="60"/>
      <c r="AK190" s="31"/>
      <c r="AL190" s="61"/>
      <c r="AM190" s="60"/>
      <c r="AN190" s="31"/>
      <c r="AO190" s="61"/>
      <c r="AP190" s="60"/>
      <c r="AQ190" s="31"/>
      <c r="AR190" s="61"/>
      <c r="AS190" s="60"/>
      <c r="AT190" s="31"/>
      <c r="AU190" s="61"/>
      <c r="AV190" s="60"/>
      <c r="AW190" s="31"/>
      <c r="AX190" s="61"/>
    </row>
    <row r="191" ht="39.75" customHeight="1">
      <c r="A191" s="62"/>
      <c r="B191" s="156"/>
      <c r="C191" s="105" t="str">
        <f>VLOOKUP(D191,[1]Saldo!A190:B31463,2,0)</f>
        <v>#ERROR!</v>
      </c>
      <c r="D191" s="68" t="s">
        <v>861</v>
      </c>
      <c r="E191" s="68" t="s">
        <v>796</v>
      </c>
      <c r="F191" s="149">
        <v>2.0</v>
      </c>
      <c r="G191" s="68">
        <v>2000.0</v>
      </c>
      <c r="H191" s="150">
        <f>'PAINEL DE CONTROLE'!$G$5</f>
        <v>28359</v>
      </c>
      <c r="I191" s="150">
        <v>24649.0</v>
      </c>
      <c r="J191" s="150">
        <f t="shared" si="3"/>
        <v>26649</v>
      </c>
      <c r="K191" s="151">
        <f t="shared" si="4"/>
        <v>-1710</v>
      </c>
      <c r="L191" s="60"/>
      <c r="M191" s="31"/>
      <c r="N191" s="61"/>
      <c r="O191" s="60"/>
      <c r="P191" s="31"/>
      <c r="Q191" s="61"/>
      <c r="R191" s="60"/>
      <c r="S191" s="31"/>
      <c r="T191" s="61"/>
      <c r="U191" s="60"/>
      <c r="V191" s="31"/>
      <c r="W191" s="61"/>
      <c r="X191" s="60"/>
      <c r="Y191" s="31"/>
      <c r="Z191" s="61"/>
      <c r="AA191" s="60"/>
      <c r="AB191" s="31"/>
      <c r="AC191" s="61"/>
      <c r="AD191" s="60"/>
      <c r="AE191" s="31"/>
      <c r="AF191" s="61"/>
      <c r="AG191" s="60"/>
      <c r="AH191" s="31"/>
      <c r="AI191" s="61"/>
      <c r="AJ191" s="60"/>
      <c r="AK191" s="31"/>
      <c r="AL191" s="61"/>
      <c r="AM191" s="60"/>
      <c r="AN191" s="31"/>
      <c r="AO191" s="61"/>
      <c r="AP191" s="60"/>
      <c r="AQ191" s="31"/>
      <c r="AR191" s="61"/>
      <c r="AS191" s="60"/>
      <c r="AT191" s="31"/>
      <c r="AU191" s="61"/>
      <c r="AV191" s="60"/>
      <c r="AW191" s="31"/>
      <c r="AX191" s="61"/>
    </row>
    <row r="192" ht="39.75" customHeight="1">
      <c r="A192" s="62"/>
      <c r="B192" s="156"/>
      <c r="C192" s="105" t="str">
        <f>VLOOKUP(D192,[1]Saldo!A191:B31464,2,0)</f>
        <v>#ERROR!</v>
      </c>
      <c r="D192" s="68" t="s">
        <v>859</v>
      </c>
      <c r="E192" s="68" t="s">
        <v>714</v>
      </c>
      <c r="F192" s="149">
        <v>3.0</v>
      </c>
      <c r="G192" s="68">
        <v>6000.0</v>
      </c>
      <c r="H192" s="150">
        <f>'PAINEL DE CONTROLE'!$G$5</f>
        <v>28359</v>
      </c>
      <c r="I192" s="150">
        <v>24649.0</v>
      </c>
      <c r="J192" s="150">
        <f t="shared" si="3"/>
        <v>30649</v>
      </c>
      <c r="K192" s="151">
        <f t="shared" si="4"/>
        <v>2290</v>
      </c>
      <c r="L192" s="60"/>
      <c r="M192" s="31"/>
      <c r="N192" s="61"/>
      <c r="O192" s="60"/>
      <c r="P192" s="31"/>
      <c r="Q192" s="61"/>
      <c r="R192" s="60"/>
      <c r="S192" s="31"/>
      <c r="T192" s="61"/>
      <c r="U192" s="60"/>
      <c r="V192" s="31"/>
      <c r="W192" s="61"/>
      <c r="X192" s="60"/>
      <c r="Y192" s="31"/>
      <c r="Z192" s="61"/>
      <c r="AA192" s="60"/>
      <c r="AB192" s="31"/>
      <c r="AC192" s="61"/>
      <c r="AD192" s="60"/>
      <c r="AE192" s="31"/>
      <c r="AF192" s="61"/>
      <c r="AG192" s="60"/>
      <c r="AH192" s="31"/>
      <c r="AI192" s="61"/>
      <c r="AJ192" s="60"/>
      <c r="AK192" s="31"/>
      <c r="AL192" s="61"/>
      <c r="AM192" s="60"/>
      <c r="AN192" s="31"/>
      <c r="AO192" s="61"/>
      <c r="AP192" s="60"/>
      <c r="AQ192" s="31"/>
      <c r="AR192" s="61"/>
      <c r="AS192" s="60"/>
      <c r="AT192" s="31"/>
      <c r="AU192" s="61"/>
      <c r="AV192" s="60"/>
      <c r="AW192" s="31"/>
      <c r="AX192" s="61"/>
    </row>
    <row r="193" ht="39.75" customHeight="1">
      <c r="A193" s="62"/>
      <c r="B193" s="156"/>
      <c r="C193" s="105" t="str">
        <f>VLOOKUP(D193,[1]Saldo!A192:B31465,2,0)</f>
        <v>#ERROR!</v>
      </c>
      <c r="D193" s="68" t="s">
        <v>861</v>
      </c>
      <c r="E193" s="68" t="s">
        <v>796</v>
      </c>
      <c r="F193" s="149">
        <v>6.0</v>
      </c>
      <c r="G193" s="68">
        <v>6000.0</v>
      </c>
      <c r="H193" s="150">
        <f>'PAINEL DE CONTROLE'!$G$5</f>
        <v>28359</v>
      </c>
      <c r="I193" s="150">
        <v>24649.0</v>
      </c>
      <c r="J193" s="150">
        <f t="shared" si="3"/>
        <v>30649</v>
      </c>
      <c r="K193" s="151">
        <f t="shared" si="4"/>
        <v>2290</v>
      </c>
      <c r="L193" s="60"/>
      <c r="M193" s="31"/>
      <c r="N193" s="61"/>
      <c r="O193" s="60"/>
      <c r="P193" s="31"/>
      <c r="Q193" s="61"/>
      <c r="R193" s="60"/>
      <c r="S193" s="31"/>
      <c r="T193" s="61"/>
      <c r="U193" s="60"/>
      <c r="V193" s="31"/>
      <c r="W193" s="61"/>
      <c r="X193" s="60"/>
      <c r="Y193" s="31"/>
      <c r="Z193" s="61"/>
      <c r="AA193" s="60"/>
      <c r="AB193" s="31"/>
      <c r="AC193" s="61"/>
      <c r="AD193" s="60"/>
      <c r="AE193" s="31"/>
      <c r="AF193" s="61"/>
      <c r="AG193" s="60"/>
      <c r="AH193" s="31"/>
      <c r="AI193" s="61"/>
      <c r="AJ193" s="60"/>
      <c r="AK193" s="31"/>
      <c r="AL193" s="61"/>
      <c r="AM193" s="60"/>
      <c r="AN193" s="31"/>
      <c r="AO193" s="61"/>
      <c r="AP193" s="60"/>
      <c r="AQ193" s="31"/>
      <c r="AR193" s="61"/>
      <c r="AS193" s="60"/>
      <c r="AT193" s="31"/>
      <c r="AU193" s="61"/>
      <c r="AV193" s="60"/>
      <c r="AW193" s="31"/>
      <c r="AX193" s="61"/>
    </row>
    <row r="194" ht="39.75" customHeight="1">
      <c r="A194" s="62"/>
      <c r="B194" s="156"/>
      <c r="C194" s="105" t="str">
        <f>VLOOKUP(D194,[1]Saldo!A193:B31466,2,0)</f>
        <v>#ERROR!</v>
      </c>
      <c r="D194" s="68" t="s">
        <v>862</v>
      </c>
      <c r="E194" s="68" t="s">
        <v>718</v>
      </c>
      <c r="F194" s="149">
        <v>6.0</v>
      </c>
      <c r="G194" s="68">
        <v>6000.0</v>
      </c>
      <c r="H194" s="150">
        <f>'PAINEL DE CONTROLE'!$G$5</f>
        <v>28359</v>
      </c>
      <c r="I194" s="150">
        <v>24649.0</v>
      </c>
      <c r="J194" s="150">
        <f t="shared" si="3"/>
        <v>30649</v>
      </c>
      <c r="K194" s="151">
        <f t="shared" si="4"/>
        <v>2290</v>
      </c>
      <c r="L194" s="60"/>
      <c r="M194" s="31"/>
      <c r="N194" s="61"/>
      <c r="O194" s="60"/>
      <c r="P194" s="31"/>
      <c r="Q194" s="61"/>
      <c r="R194" s="60"/>
      <c r="S194" s="31"/>
      <c r="T194" s="61"/>
      <c r="U194" s="60"/>
      <c r="V194" s="31"/>
      <c r="W194" s="61"/>
      <c r="X194" s="60"/>
      <c r="Y194" s="31"/>
      <c r="Z194" s="61"/>
      <c r="AA194" s="60"/>
      <c r="AB194" s="31"/>
      <c r="AC194" s="61"/>
      <c r="AD194" s="60"/>
      <c r="AE194" s="31"/>
      <c r="AF194" s="61"/>
      <c r="AG194" s="60"/>
      <c r="AH194" s="31"/>
      <c r="AI194" s="61"/>
      <c r="AJ194" s="60"/>
      <c r="AK194" s="31"/>
      <c r="AL194" s="61"/>
      <c r="AM194" s="60"/>
      <c r="AN194" s="31"/>
      <c r="AO194" s="61"/>
      <c r="AP194" s="60"/>
      <c r="AQ194" s="31"/>
      <c r="AR194" s="61"/>
      <c r="AS194" s="60"/>
      <c r="AT194" s="31"/>
      <c r="AU194" s="61"/>
      <c r="AV194" s="60"/>
      <c r="AW194" s="31"/>
      <c r="AX194" s="61"/>
    </row>
    <row r="195" ht="39.75" customHeight="1">
      <c r="A195" s="62"/>
      <c r="B195" s="156"/>
      <c r="C195" s="105" t="str">
        <f>VLOOKUP(D195,[1]Saldo!A194:B31467,2,0)</f>
        <v>#ERROR!</v>
      </c>
      <c r="D195" s="68" t="s">
        <v>863</v>
      </c>
      <c r="E195" s="68" t="s">
        <v>796</v>
      </c>
      <c r="F195" s="149">
        <v>2.0</v>
      </c>
      <c r="G195" s="68">
        <v>6000.0</v>
      </c>
      <c r="H195" s="150">
        <f>'PAINEL DE CONTROLE'!$G$5</f>
        <v>28359</v>
      </c>
      <c r="I195" s="150">
        <v>24649.0</v>
      </c>
      <c r="J195" s="150">
        <f t="shared" si="3"/>
        <v>30649</v>
      </c>
      <c r="K195" s="151">
        <f t="shared" si="4"/>
        <v>2290</v>
      </c>
      <c r="L195" s="60"/>
      <c r="M195" s="31"/>
      <c r="N195" s="61"/>
      <c r="O195" s="60"/>
      <c r="P195" s="31"/>
      <c r="Q195" s="61"/>
      <c r="R195" s="60"/>
      <c r="S195" s="31"/>
      <c r="T195" s="61"/>
      <c r="U195" s="60"/>
      <c r="V195" s="31"/>
      <c r="W195" s="61"/>
      <c r="X195" s="60"/>
      <c r="Y195" s="31"/>
      <c r="Z195" s="61"/>
      <c r="AA195" s="60"/>
      <c r="AB195" s="31"/>
      <c r="AC195" s="61"/>
      <c r="AD195" s="60"/>
      <c r="AE195" s="31"/>
      <c r="AF195" s="61"/>
      <c r="AG195" s="60"/>
      <c r="AH195" s="31"/>
      <c r="AI195" s="61"/>
      <c r="AJ195" s="60"/>
      <c r="AK195" s="31"/>
      <c r="AL195" s="61"/>
      <c r="AM195" s="60"/>
      <c r="AN195" s="31"/>
      <c r="AO195" s="61"/>
      <c r="AP195" s="60"/>
      <c r="AQ195" s="31"/>
      <c r="AR195" s="61"/>
      <c r="AS195" s="60"/>
      <c r="AT195" s="31"/>
      <c r="AU195" s="61"/>
      <c r="AV195" s="60"/>
      <c r="AW195" s="31"/>
      <c r="AX195" s="61"/>
    </row>
    <row r="196" ht="39.75" customHeight="1">
      <c r="A196" s="62"/>
      <c r="B196" s="156"/>
      <c r="C196" s="105" t="str">
        <f>VLOOKUP(D196,[1]Saldo!A195:B31468,2,0)</f>
        <v>#ERROR!</v>
      </c>
      <c r="D196" s="68" t="s">
        <v>864</v>
      </c>
      <c r="E196" s="68" t="s">
        <v>865</v>
      </c>
      <c r="F196" s="149">
        <v>6.0</v>
      </c>
      <c r="G196" s="68">
        <v>6000.0</v>
      </c>
      <c r="H196" s="150">
        <f>'PAINEL DE CONTROLE'!$G$5</f>
        <v>28359</v>
      </c>
      <c r="I196" s="150">
        <v>24649.0</v>
      </c>
      <c r="J196" s="150">
        <f t="shared" si="3"/>
        <v>30649</v>
      </c>
      <c r="K196" s="151">
        <f t="shared" si="4"/>
        <v>2290</v>
      </c>
      <c r="L196" s="60"/>
      <c r="M196" s="31"/>
      <c r="N196" s="61"/>
      <c r="O196" s="60"/>
      <c r="P196" s="31"/>
      <c r="Q196" s="61"/>
      <c r="R196" s="60"/>
      <c r="S196" s="31"/>
      <c r="T196" s="61"/>
      <c r="U196" s="60"/>
      <c r="V196" s="31"/>
      <c r="W196" s="61"/>
      <c r="X196" s="60"/>
      <c r="Y196" s="31"/>
      <c r="Z196" s="61"/>
      <c r="AA196" s="60"/>
      <c r="AB196" s="31"/>
      <c r="AC196" s="61"/>
      <c r="AD196" s="60"/>
      <c r="AE196" s="31"/>
      <c r="AF196" s="61"/>
      <c r="AG196" s="60"/>
      <c r="AH196" s="31"/>
      <c r="AI196" s="61"/>
      <c r="AJ196" s="60"/>
      <c r="AK196" s="31"/>
      <c r="AL196" s="61"/>
      <c r="AM196" s="60"/>
      <c r="AN196" s="31"/>
      <c r="AO196" s="61"/>
      <c r="AP196" s="60"/>
      <c r="AQ196" s="31"/>
      <c r="AR196" s="61"/>
      <c r="AS196" s="60"/>
      <c r="AT196" s="31"/>
      <c r="AU196" s="61"/>
      <c r="AV196" s="60"/>
      <c r="AW196" s="31"/>
      <c r="AX196" s="61"/>
    </row>
    <row r="197" ht="39.75" customHeight="1">
      <c r="A197" s="62"/>
      <c r="B197" s="156"/>
      <c r="C197" s="105" t="str">
        <f>VLOOKUP(D197,[1]Saldo!A196:B31469,2,0)</f>
        <v>#ERROR!</v>
      </c>
      <c r="D197" s="68" t="s">
        <v>866</v>
      </c>
      <c r="E197" s="68" t="s">
        <v>714</v>
      </c>
      <c r="F197" s="149">
        <v>2.0</v>
      </c>
      <c r="G197" s="68">
        <v>6000.0</v>
      </c>
      <c r="H197" s="150">
        <f>'PAINEL DE CONTROLE'!$G$5</f>
        <v>28359</v>
      </c>
      <c r="I197" s="150">
        <v>24649.0</v>
      </c>
      <c r="J197" s="150">
        <f t="shared" si="3"/>
        <v>30649</v>
      </c>
      <c r="K197" s="151">
        <f t="shared" si="4"/>
        <v>2290</v>
      </c>
      <c r="L197" s="60"/>
      <c r="M197" s="31"/>
      <c r="N197" s="61"/>
      <c r="O197" s="60"/>
      <c r="P197" s="31"/>
      <c r="Q197" s="61"/>
      <c r="R197" s="60"/>
      <c r="S197" s="31"/>
      <c r="T197" s="61"/>
      <c r="U197" s="60"/>
      <c r="V197" s="31"/>
      <c r="W197" s="61"/>
      <c r="X197" s="60"/>
      <c r="Y197" s="31"/>
      <c r="Z197" s="61"/>
      <c r="AA197" s="60"/>
      <c r="AB197" s="31"/>
      <c r="AC197" s="61"/>
      <c r="AD197" s="60"/>
      <c r="AE197" s="31"/>
      <c r="AF197" s="61"/>
      <c r="AG197" s="60"/>
      <c r="AH197" s="31"/>
      <c r="AI197" s="61"/>
      <c r="AJ197" s="60"/>
      <c r="AK197" s="31"/>
      <c r="AL197" s="61"/>
      <c r="AM197" s="60"/>
      <c r="AN197" s="31"/>
      <c r="AO197" s="61"/>
      <c r="AP197" s="60"/>
      <c r="AQ197" s="31"/>
      <c r="AR197" s="61"/>
      <c r="AS197" s="60"/>
      <c r="AT197" s="31"/>
      <c r="AU197" s="61"/>
      <c r="AV197" s="60"/>
      <c r="AW197" s="31"/>
      <c r="AX197" s="61"/>
    </row>
    <row r="198" ht="39.75" customHeight="1">
      <c r="A198" s="62"/>
      <c r="B198" s="156"/>
      <c r="C198" s="105" t="str">
        <f>VLOOKUP(D198,[1]Saldo!A197:B31470,2,0)</f>
        <v>#ERROR!</v>
      </c>
      <c r="D198" s="68" t="s">
        <v>867</v>
      </c>
      <c r="E198" s="68" t="s">
        <v>868</v>
      </c>
      <c r="F198" s="149">
        <v>3.0</v>
      </c>
      <c r="G198" s="68">
        <v>6000.0</v>
      </c>
      <c r="H198" s="150">
        <f>'PAINEL DE CONTROLE'!$G$5</f>
        <v>28359</v>
      </c>
      <c r="I198" s="150">
        <v>24649.0</v>
      </c>
      <c r="J198" s="150">
        <f t="shared" si="3"/>
        <v>30649</v>
      </c>
      <c r="K198" s="151">
        <f t="shared" si="4"/>
        <v>2290</v>
      </c>
      <c r="L198" s="60"/>
      <c r="M198" s="31"/>
      <c r="N198" s="61"/>
      <c r="O198" s="60"/>
      <c r="P198" s="31"/>
      <c r="Q198" s="61"/>
      <c r="R198" s="60"/>
      <c r="S198" s="31"/>
      <c r="T198" s="61"/>
      <c r="U198" s="60"/>
      <c r="V198" s="31"/>
      <c r="W198" s="61"/>
      <c r="X198" s="60"/>
      <c r="Y198" s="31"/>
      <c r="Z198" s="61"/>
      <c r="AA198" s="60"/>
      <c r="AB198" s="31"/>
      <c r="AC198" s="61"/>
      <c r="AD198" s="60"/>
      <c r="AE198" s="31"/>
      <c r="AF198" s="61"/>
      <c r="AG198" s="60"/>
      <c r="AH198" s="31"/>
      <c r="AI198" s="61"/>
      <c r="AJ198" s="60"/>
      <c r="AK198" s="31"/>
      <c r="AL198" s="61"/>
      <c r="AM198" s="60"/>
      <c r="AN198" s="31"/>
      <c r="AO198" s="61"/>
      <c r="AP198" s="60"/>
      <c r="AQ198" s="31"/>
      <c r="AR198" s="61"/>
      <c r="AS198" s="60"/>
      <c r="AT198" s="31"/>
      <c r="AU198" s="61"/>
      <c r="AV198" s="60"/>
      <c r="AW198" s="31"/>
      <c r="AX198" s="61"/>
    </row>
    <row r="199" ht="39.75" customHeight="1">
      <c r="A199" s="62"/>
      <c r="B199" s="156"/>
      <c r="C199" s="105" t="str">
        <f>VLOOKUP(D199,[1]Saldo!A198:B31471,2,0)</f>
        <v>#ERROR!</v>
      </c>
      <c r="D199" s="68" t="s">
        <v>869</v>
      </c>
      <c r="E199" s="68" t="s">
        <v>581</v>
      </c>
      <c r="F199" s="149">
        <v>1.0</v>
      </c>
      <c r="G199" s="68">
        <v>6000.0</v>
      </c>
      <c r="H199" s="150">
        <f>'PAINEL DE CONTROLE'!$G$5</f>
        <v>28359</v>
      </c>
      <c r="I199" s="150">
        <v>24649.0</v>
      </c>
      <c r="J199" s="150">
        <f t="shared" si="3"/>
        <v>30649</v>
      </c>
      <c r="K199" s="151">
        <f t="shared" si="4"/>
        <v>2290</v>
      </c>
      <c r="L199" s="60"/>
      <c r="M199" s="31"/>
      <c r="N199" s="61"/>
      <c r="O199" s="60"/>
      <c r="P199" s="31"/>
      <c r="Q199" s="61"/>
      <c r="R199" s="60"/>
      <c r="S199" s="31"/>
      <c r="T199" s="61"/>
      <c r="U199" s="60"/>
      <c r="V199" s="31"/>
      <c r="W199" s="61"/>
      <c r="X199" s="60"/>
      <c r="Y199" s="31"/>
      <c r="Z199" s="61"/>
      <c r="AA199" s="60"/>
      <c r="AB199" s="31"/>
      <c r="AC199" s="61"/>
      <c r="AD199" s="60"/>
      <c r="AE199" s="31"/>
      <c r="AF199" s="61"/>
      <c r="AG199" s="60"/>
      <c r="AH199" s="31"/>
      <c r="AI199" s="61"/>
      <c r="AJ199" s="60"/>
      <c r="AK199" s="31"/>
      <c r="AL199" s="61"/>
      <c r="AM199" s="60"/>
      <c r="AN199" s="31"/>
      <c r="AO199" s="61"/>
      <c r="AP199" s="60"/>
      <c r="AQ199" s="31"/>
      <c r="AR199" s="61"/>
      <c r="AS199" s="60"/>
      <c r="AT199" s="31"/>
      <c r="AU199" s="61"/>
      <c r="AV199" s="60"/>
      <c r="AW199" s="31"/>
      <c r="AX199" s="61"/>
    </row>
    <row r="200" ht="39.75" customHeight="1">
      <c r="A200" s="62"/>
      <c r="B200" s="156"/>
      <c r="C200" s="105" t="str">
        <f>VLOOKUP(D200,[1]Saldo!A199:B31472,2,0)</f>
        <v>#ERROR!</v>
      </c>
      <c r="D200" s="68" t="s">
        <v>870</v>
      </c>
      <c r="E200" s="68" t="s">
        <v>612</v>
      </c>
      <c r="F200" s="149">
        <v>2.0</v>
      </c>
      <c r="G200" s="68">
        <v>6000.0</v>
      </c>
      <c r="H200" s="150">
        <f>'PAINEL DE CONTROLE'!$G$5</f>
        <v>28359</v>
      </c>
      <c r="I200" s="150">
        <v>24649.0</v>
      </c>
      <c r="J200" s="150">
        <f t="shared" si="3"/>
        <v>30649</v>
      </c>
      <c r="K200" s="151">
        <f t="shared" si="4"/>
        <v>2290</v>
      </c>
      <c r="L200" s="60"/>
      <c r="M200" s="31"/>
      <c r="N200" s="61"/>
      <c r="O200" s="60"/>
      <c r="P200" s="31"/>
      <c r="Q200" s="61"/>
      <c r="R200" s="60"/>
      <c r="S200" s="31"/>
      <c r="T200" s="61"/>
      <c r="U200" s="60"/>
      <c r="V200" s="31"/>
      <c r="W200" s="61"/>
      <c r="X200" s="60"/>
      <c r="Y200" s="31"/>
      <c r="Z200" s="61"/>
      <c r="AA200" s="60"/>
      <c r="AB200" s="31"/>
      <c r="AC200" s="61"/>
      <c r="AD200" s="60"/>
      <c r="AE200" s="31"/>
      <c r="AF200" s="61"/>
      <c r="AG200" s="60"/>
      <c r="AH200" s="31"/>
      <c r="AI200" s="61"/>
      <c r="AJ200" s="60"/>
      <c r="AK200" s="31"/>
      <c r="AL200" s="61"/>
      <c r="AM200" s="60"/>
      <c r="AN200" s="31"/>
      <c r="AO200" s="61"/>
      <c r="AP200" s="60"/>
      <c r="AQ200" s="31"/>
      <c r="AR200" s="61"/>
      <c r="AS200" s="60"/>
      <c r="AT200" s="31"/>
      <c r="AU200" s="61"/>
      <c r="AV200" s="60"/>
      <c r="AW200" s="31"/>
      <c r="AX200" s="61"/>
    </row>
    <row r="201" ht="39.75" customHeight="1">
      <c r="A201" s="62"/>
      <c r="B201" s="156"/>
      <c r="C201" s="105" t="str">
        <f>VLOOKUP(D201,[1]Saldo!A200:B31473,2,0)</f>
        <v>#ERROR!</v>
      </c>
      <c r="D201" s="68" t="s">
        <v>871</v>
      </c>
      <c r="E201" s="68" t="s">
        <v>796</v>
      </c>
      <c r="F201" s="149">
        <v>1.0</v>
      </c>
      <c r="G201" s="68">
        <v>6000.0</v>
      </c>
      <c r="H201" s="150">
        <f>'PAINEL DE CONTROLE'!$G$5</f>
        <v>28359</v>
      </c>
      <c r="I201" s="150">
        <v>24649.0</v>
      </c>
      <c r="J201" s="150">
        <f t="shared" si="3"/>
        <v>30649</v>
      </c>
      <c r="K201" s="151">
        <f t="shared" si="4"/>
        <v>2290</v>
      </c>
      <c r="L201" s="60"/>
      <c r="M201" s="31"/>
      <c r="N201" s="61"/>
      <c r="O201" s="60"/>
      <c r="P201" s="31"/>
      <c r="Q201" s="61"/>
      <c r="R201" s="60"/>
      <c r="S201" s="31"/>
      <c r="T201" s="61"/>
      <c r="U201" s="60"/>
      <c r="V201" s="31"/>
      <c r="W201" s="61"/>
      <c r="X201" s="60"/>
      <c r="Y201" s="31"/>
      <c r="Z201" s="61"/>
      <c r="AA201" s="60"/>
      <c r="AB201" s="31"/>
      <c r="AC201" s="61"/>
      <c r="AD201" s="60"/>
      <c r="AE201" s="31"/>
      <c r="AF201" s="61"/>
      <c r="AG201" s="60"/>
      <c r="AH201" s="31"/>
      <c r="AI201" s="61"/>
      <c r="AJ201" s="60"/>
      <c r="AK201" s="31"/>
      <c r="AL201" s="61"/>
      <c r="AM201" s="60"/>
      <c r="AN201" s="31"/>
      <c r="AO201" s="61"/>
      <c r="AP201" s="60"/>
      <c r="AQ201" s="31"/>
      <c r="AR201" s="61"/>
      <c r="AS201" s="60"/>
      <c r="AT201" s="31"/>
      <c r="AU201" s="61"/>
      <c r="AV201" s="60"/>
      <c r="AW201" s="31"/>
      <c r="AX201" s="61"/>
    </row>
    <row r="202" ht="39.75" customHeight="1">
      <c r="A202" s="63"/>
      <c r="B202" s="156"/>
      <c r="C202" s="105" t="str">
        <f>VLOOKUP(D202,[1]Saldo!A201:B31474,2,0)</f>
        <v>#ERROR!</v>
      </c>
      <c r="D202" s="68" t="s">
        <v>872</v>
      </c>
      <c r="E202" s="68" t="s">
        <v>714</v>
      </c>
      <c r="F202" s="149">
        <v>1.0</v>
      </c>
      <c r="G202" s="68">
        <v>6000.0</v>
      </c>
      <c r="H202" s="150">
        <f>'PAINEL DE CONTROLE'!$G$5</f>
        <v>28359</v>
      </c>
      <c r="I202" s="150">
        <v>24649.0</v>
      </c>
      <c r="J202" s="150">
        <f t="shared" si="3"/>
        <v>30649</v>
      </c>
      <c r="K202" s="151">
        <f t="shared" si="4"/>
        <v>2290</v>
      </c>
      <c r="L202" s="60"/>
      <c r="M202" s="31"/>
      <c r="N202" s="61"/>
      <c r="O202" s="60"/>
      <c r="P202" s="31"/>
      <c r="Q202" s="61"/>
      <c r="R202" s="60"/>
      <c r="S202" s="31"/>
      <c r="T202" s="61"/>
      <c r="U202" s="60"/>
      <c r="V202" s="31"/>
      <c r="W202" s="61"/>
      <c r="X202" s="60"/>
      <c r="Y202" s="31"/>
      <c r="Z202" s="61"/>
      <c r="AA202" s="60"/>
      <c r="AB202" s="31"/>
      <c r="AC202" s="61"/>
      <c r="AD202" s="60"/>
      <c r="AE202" s="31"/>
      <c r="AF202" s="61"/>
      <c r="AG202" s="60"/>
      <c r="AH202" s="31"/>
      <c r="AI202" s="61"/>
      <c r="AJ202" s="60"/>
      <c r="AK202" s="31"/>
      <c r="AL202" s="61"/>
      <c r="AM202" s="60"/>
      <c r="AN202" s="31"/>
      <c r="AO202" s="61"/>
      <c r="AP202" s="60"/>
      <c r="AQ202" s="31"/>
      <c r="AR202" s="61"/>
      <c r="AS202" s="60"/>
      <c r="AT202" s="31"/>
      <c r="AU202" s="61"/>
      <c r="AV202" s="60"/>
      <c r="AW202" s="31"/>
      <c r="AX202" s="61"/>
    </row>
    <row r="203" ht="39.75" customHeight="1">
      <c r="A203" s="147" t="s">
        <v>873</v>
      </c>
      <c r="B203" s="156"/>
      <c r="C203" s="105" t="str">
        <f>VLOOKUP(D203,[1]Saldo!A202:B31475,2,0)</f>
        <v>#ERROR!</v>
      </c>
      <c r="D203" s="68" t="s">
        <v>874</v>
      </c>
      <c r="E203" s="68" t="s">
        <v>875</v>
      </c>
      <c r="F203" s="149">
        <v>1.0</v>
      </c>
      <c r="G203" s="68">
        <v>1000.0</v>
      </c>
      <c r="H203" s="150">
        <f>'PAINEL DE CONTROLE'!$G$5</f>
        <v>28359</v>
      </c>
      <c r="I203" s="150">
        <v>24649.0</v>
      </c>
      <c r="J203" s="150">
        <f t="shared" si="3"/>
        <v>25649</v>
      </c>
      <c r="K203" s="151">
        <f t="shared" si="4"/>
        <v>-2710</v>
      </c>
      <c r="L203" s="60"/>
      <c r="M203" s="31"/>
      <c r="N203" s="61"/>
      <c r="O203" s="60"/>
      <c r="P203" s="31"/>
      <c r="Q203" s="61"/>
      <c r="R203" s="60"/>
      <c r="S203" s="31"/>
      <c r="T203" s="61"/>
      <c r="U203" s="60"/>
      <c r="V203" s="31"/>
      <c r="W203" s="61"/>
      <c r="X203" s="60"/>
      <c r="Y203" s="31"/>
      <c r="Z203" s="61"/>
      <c r="AA203" s="60"/>
      <c r="AB203" s="31"/>
      <c r="AC203" s="61"/>
      <c r="AD203" s="60"/>
      <c r="AE203" s="31"/>
      <c r="AF203" s="61"/>
      <c r="AG203" s="60"/>
      <c r="AH203" s="31"/>
      <c r="AI203" s="61"/>
      <c r="AJ203" s="60"/>
      <c r="AK203" s="31"/>
      <c r="AL203" s="61"/>
      <c r="AM203" s="60"/>
      <c r="AN203" s="31"/>
      <c r="AO203" s="61"/>
      <c r="AP203" s="60"/>
      <c r="AQ203" s="31"/>
      <c r="AR203" s="61"/>
      <c r="AS203" s="60"/>
      <c r="AT203" s="31"/>
      <c r="AU203" s="61"/>
      <c r="AV203" s="60"/>
      <c r="AW203" s="31"/>
      <c r="AX203" s="61"/>
    </row>
    <row r="204" ht="39.75" customHeight="1">
      <c r="A204" s="62"/>
      <c r="B204" s="156"/>
      <c r="C204" s="105" t="str">
        <f>VLOOKUP(D204,[1]Saldo!A203:B31476,2,0)</f>
        <v>#ERROR!</v>
      </c>
      <c r="D204" s="68" t="s">
        <v>876</v>
      </c>
      <c r="E204" s="68" t="s">
        <v>877</v>
      </c>
      <c r="F204" s="149">
        <v>1.0</v>
      </c>
      <c r="G204" s="68">
        <v>1000.0</v>
      </c>
      <c r="H204" s="150">
        <f>'PAINEL DE CONTROLE'!$G$5</f>
        <v>28359</v>
      </c>
      <c r="I204" s="150">
        <v>24649.0</v>
      </c>
      <c r="J204" s="150">
        <f t="shared" si="3"/>
        <v>25649</v>
      </c>
      <c r="K204" s="151">
        <f t="shared" si="4"/>
        <v>-2710</v>
      </c>
      <c r="L204" s="60"/>
      <c r="M204" s="31"/>
      <c r="N204" s="61"/>
      <c r="O204" s="60"/>
      <c r="P204" s="31"/>
      <c r="Q204" s="61"/>
      <c r="R204" s="60"/>
      <c r="S204" s="31"/>
      <c r="T204" s="61"/>
      <c r="U204" s="60"/>
      <c r="V204" s="31"/>
      <c r="W204" s="61"/>
      <c r="X204" s="60"/>
      <c r="Y204" s="31"/>
      <c r="Z204" s="61"/>
      <c r="AA204" s="60"/>
      <c r="AB204" s="31"/>
      <c r="AC204" s="61"/>
      <c r="AD204" s="60"/>
      <c r="AE204" s="31"/>
      <c r="AF204" s="61"/>
      <c r="AG204" s="60"/>
      <c r="AH204" s="31"/>
      <c r="AI204" s="61"/>
      <c r="AJ204" s="60"/>
      <c r="AK204" s="31"/>
      <c r="AL204" s="61"/>
      <c r="AM204" s="60"/>
      <c r="AN204" s="31"/>
      <c r="AO204" s="61"/>
      <c r="AP204" s="60"/>
      <c r="AQ204" s="31"/>
      <c r="AR204" s="61"/>
      <c r="AS204" s="60"/>
      <c r="AT204" s="31"/>
      <c r="AU204" s="61"/>
      <c r="AV204" s="60"/>
      <c r="AW204" s="31"/>
      <c r="AX204" s="61"/>
    </row>
    <row r="205" ht="39.75" customHeight="1">
      <c r="A205" s="62"/>
      <c r="B205" s="156"/>
      <c r="C205" s="105" t="str">
        <f>VLOOKUP(D205,[1]Saldo!A204:B31477,2,0)</f>
        <v>#ERROR!</v>
      </c>
      <c r="D205" s="68" t="s">
        <v>878</v>
      </c>
      <c r="E205" s="68" t="s">
        <v>672</v>
      </c>
      <c r="F205" s="149">
        <v>10.0</v>
      </c>
      <c r="G205" s="68">
        <v>4000.0</v>
      </c>
      <c r="H205" s="150">
        <f>'PAINEL DE CONTROLE'!$G$5</f>
        <v>28359</v>
      </c>
      <c r="I205" s="150">
        <v>24649.0</v>
      </c>
      <c r="J205" s="150">
        <f t="shared" si="3"/>
        <v>28649</v>
      </c>
      <c r="K205" s="151">
        <f t="shared" si="4"/>
        <v>290</v>
      </c>
      <c r="L205" s="60"/>
      <c r="M205" s="31"/>
      <c r="N205" s="61"/>
      <c r="O205" s="60"/>
      <c r="P205" s="31"/>
      <c r="Q205" s="61"/>
      <c r="R205" s="60"/>
      <c r="S205" s="31"/>
      <c r="T205" s="61"/>
      <c r="U205" s="60"/>
      <c r="V205" s="31"/>
      <c r="W205" s="61"/>
      <c r="X205" s="60"/>
      <c r="Y205" s="31"/>
      <c r="Z205" s="61"/>
      <c r="AA205" s="60"/>
      <c r="AB205" s="31"/>
      <c r="AC205" s="61"/>
      <c r="AD205" s="60"/>
      <c r="AE205" s="31"/>
      <c r="AF205" s="61"/>
      <c r="AG205" s="60"/>
      <c r="AH205" s="31"/>
      <c r="AI205" s="61"/>
      <c r="AJ205" s="60"/>
      <c r="AK205" s="31"/>
      <c r="AL205" s="61"/>
      <c r="AM205" s="60"/>
      <c r="AN205" s="31"/>
      <c r="AO205" s="61"/>
      <c r="AP205" s="60"/>
      <c r="AQ205" s="31"/>
      <c r="AR205" s="61"/>
      <c r="AS205" s="60"/>
      <c r="AT205" s="31"/>
      <c r="AU205" s="61"/>
      <c r="AV205" s="60"/>
      <c r="AW205" s="31"/>
      <c r="AX205" s="61"/>
    </row>
    <row r="206" ht="39.75" customHeight="1">
      <c r="A206" s="62"/>
      <c r="B206" s="156"/>
      <c r="C206" s="105" t="str">
        <f>VLOOKUP(D206,[1]Saldo!A205:B31478,2,0)</f>
        <v>#ERROR!</v>
      </c>
      <c r="D206" s="68" t="s">
        <v>879</v>
      </c>
      <c r="E206" s="68" t="s">
        <v>672</v>
      </c>
      <c r="F206" s="149">
        <v>6.0</v>
      </c>
      <c r="G206" s="68">
        <v>4000.0</v>
      </c>
      <c r="H206" s="150">
        <f>'PAINEL DE CONTROLE'!$G$5</f>
        <v>28359</v>
      </c>
      <c r="I206" s="150">
        <v>24649.0</v>
      </c>
      <c r="J206" s="150">
        <f t="shared" si="3"/>
        <v>28649</v>
      </c>
      <c r="K206" s="151">
        <f t="shared" si="4"/>
        <v>290</v>
      </c>
      <c r="L206" s="60"/>
      <c r="M206" s="31"/>
      <c r="N206" s="61"/>
      <c r="O206" s="60"/>
      <c r="P206" s="31"/>
      <c r="Q206" s="61"/>
      <c r="R206" s="60"/>
      <c r="S206" s="31"/>
      <c r="T206" s="61"/>
      <c r="U206" s="60"/>
      <c r="V206" s="31"/>
      <c r="W206" s="61"/>
      <c r="X206" s="60"/>
      <c r="Y206" s="31"/>
      <c r="Z206" s="61"/>
      <c r="AA206" s="60"/>
      <c r="AB206" s="31"/>
      <c r="AC206" s="61"/>
      <c r="AD206" s="60"/>
      <c r="AE206" s="31"/>
      <c r="AF206" s="61"/>
      <c r="AG206" s="60"/>
      <c r="AH206" s="31"/>
      <c r="AI206" s="61"/>
      <c r="AJ206" s="60"/>
      <c r="AK206" s="31"/>
      <c r="AL206" s="61"/>
      <c r="AM206" s="60"/>
      <c r="AN206" s="31"/>
      <c r="AO206" s="61"/>
      <c r="AP206" s="60"/>
      <c r="AQ206" s="31"/>
      <c r="AR206" s="61"/>
      <c r="AS206" s="60"/>
      <c r="AT206" s="31"/>
      <c r="AU206" s="61"/>
      <c r="AV206" s="60"/>
      <c r="AW206" s="31"/>
      <c r="AX206" s="61"/>
    </row>
    <row r="207" ht="39.75" customHeight="1">
      <c r="A207" s="62"/>
      <c r="B207" s="156"/>
      <c r="C207" s="105" t="str">
        <f>VLOOKUP(D207,[1]Saldo!A206:B31479,2,0)</f>
        <v>#ERROR!</v>
      </c>
      <c r="D207" s="68" t="s">
        <v>880</v>
      </c>
      <c r="E207" s="68" t="s">
        <v>672</v>
      </c>
      <c r="F207" s="149">
        <v>6.0</v>
      </c>
      <c r="G207" s="68">
        <v>4000.0</v>
      </c>
      <c r="H207" s="150">
        <f>'PAINEL DE CONTROLE'!$G$5</f>
        <v>28359</v>
      </c>
      <c r="I207" s="150">
        <v>24649.0</v>
      </c>
      <c r="J207" s="150">
        <f t="shared" si="3"/>
        <v>28649</v>
      </c>
      <c r="K207" s="151">
        <f t="shared" si="4"/>
        <v>290</v>
      </c>
      <c r="L207" s="60"/>
      <c r="M207" s="31"/>
      <c r="N207" s="61"/>
      <c r="O207" s="60"/>
      <c r="P207" s="31"/>
      <c r="Q207" s="61"/>
      <c r="R207" s="60"/>
      <c r="S207" s="31"/>
      <c r="T207" s="61"/>
      <c r="U207" s="60"/>
      <c r="V207" s="31"/>
      <c r="W207" s="61"/>
      <c r="X207" s="60"/>
      <c r="Y207" s="31"/>
      <c r="Z207" s="61"/>
      <c r="AA207" s="60"/>
      <c r="AB207" s="31"/>
      <c r="AC207" s="61"/>
      <c r="AD207" s="60"/>
      <c r="AE207" s="31"/>
      <c r="AF207" s="61"/>
      <c r="AG207" s="60"/>
      <c r="AH207" s="31"/>
      <c r="AI207" s="61"/>
      <c r="AJ207" s="60"/>
      <c r="AK207" s="31"/>
      <c r="AL207" s="61"/>
      <c r="AM207" s="60"/>
      <c r="AN207" s="31"/>
      <c r="AO207" s="61"/>
      <c r="AP207" s="60"/>
      <c r="AQ207" s="31"/>
      <c r="AR207" s="61"/>
      <c r="AS207" s="60"/>
      <c r="AT207" s="31"/>
      <c r="AU207" s="61"/>
      <c r="AV207" s="60"/>
      <c r="AW207" s="31"/>
      <c r="AX207" s="61"/>
    </row>
    <row r="208" ht="39.75" customHeight="1">
      <c r="A208" s="62"/>
      <c r="B208" s="156"/>
      <c r="C208" s="105" t="str">
        <f>VLOOKUP(D208,[1]Saldo!A207:B31480,2,0)</f>
        <v>#ERROR!</v>
      </c>
      <c r="D208" s="68" t="s">
        <v>881</v>
      </c>
      <c r="E208" s="68" t="s">
        <v>742</v>
      </c>
      <c r="F208" s="149">
        <v>12.0</v>
      </c>
      <c r="G208" s="68">
        <v>4000.0</v>
      </c>
      <c r="H208" s="150">
        <f>'PAINEL DE CONTROLE'!$G$5</f>
        <v>28359</v>
      </c>
      <c r="I208" s="150">
        <v>24649.0</v>
      </c>
      <c r="J208" s="150">
        <f t="shared" si="3"/>
        <v>28649</v>
      </c>
      <c r="K208" s="151">
        <f t="shared" si="4"/>
        <v>290</v>
      </c>
      <c r="L208" s="60"/>
      <c r="M208" s="31"/>
      <c r="N208" s="61"/>
      <c r="O208" s="60"/>
      <c r="P208" s="31"/>
      <c r="Q208" s="61"/>
      <c r="R208" s="60"/>
      <c r="S208" s="31"/>
      <c r="T208" s="61"/>
      <c r="U208" s="60"/>
      <c r="V208" s="31"/>
      <c r="W208" s="61"/>
      <c r="X208" s="60"/>
      <c r="Y208" s="31"/>
      <c r="Z208" s="61"/>
      <c r="AA208" s="60"/>
      <c r="AB208" s="31"/>
      <c r="AC208" s="61"/>
      <c r="AD208" s="60"/>
      <c r="AE208" s="31"/>
      <c r="AF208" s="61"/>
      <c r="AG208" s="60"/>
      <c r="AH208" s="31"/>
      <c r="AI208" s="61"/>
      <c r="AJ208" s="60"/>
      <c r="AK208" s="31"/>
      <c r="AL208" s="61"/>
      <c r="AM208" s="60"/>
      <c r="AN208" s="31"/>
      <c r="AO208" s="61"/>
      <c r="AP208" s="60"/>
      <c r="AQ208" s="31"/>
      <c r="AR208" s="61"/>
      <c r="AS208" s="60"/>
      <c r="AT208" s="31"/>
      <c r="AU208" s="61"/>
      <c r="AV208" s="60"/>
      <c r="AW208" s="31"/>
      <c r="AX208" s="61"/>
    </row>
    <row r="209" ht="39.75" customHeight="1">
      <c r="A209" s="62"/>
      <c r="B209" s="156"/>
      <c r="C209" s="105" t="str">
        <f>VLOOKUP(D209,[1]Saldo!A208:B31481,2,0)</f>
        <v>#ERROR!</v>
      </c>
      <c r="D209" s="68" t="s">
        <v>882</v>
      </c>
      <c r="E209" s="68" t="s">
        <v>672</v>
      </c>
      <c r="F209" s="149">
        <v>24.0</v>
      </c>
      <c r="G209" s="68">
        <v>4000.0</v>
      </c>
      <c r="H209" s="150">
        <f>'PAINEL DE CONTROLE'!$G$5</f>
        <v>28359</v>
      </c>
      <c r="I209" s="150">
        <v>24649.0</v>
      </c>
      <c r="J209" s="150">
        <f t="shared" si="3"/>
        <v>28649</v>
      </c>
      <c r="K209" s="151">
        <f t="shared" si="4"/>
        <v>290</v>
      </c>
      <c r="L209" s="60"/>
      <c r="M209" s="31"/>
      <c r="N209" s="61"/>
      <c r="O209" s="60"/>
      <c r="P209" s="31"/>
      <c r="Q209" s="61"/>
      <c r="R209" s="60"/>
      <c r="S209" s="31"/>
      <c r="T209" s="61"/>
      <c r="U209" s="60"/>
      <c r="V209" s="31"/>
      <c r="W209" s="61"/>
      <c r="X209" s="60"/>
      <c r="Y209" s="31"/>
      <c r="Z209" s="61"/>
      <c r="AA209" s="60"/>
      <c r="AB209" s="31"/>
      <c r="AC209" s="61"/>
      <c r="AD209" s="60"/>
      <c r="AE209" s="31"/>
      <c r="AF209" s="61"/>
      <c r="AG209" s="60"/>
      <c r="AH209" s="31"/>
      <c r="AI209" s="61"/>
      <c r="AJ209" s="60"/>
      <c r="AK209" s="31"/>
      <c r="AL209" s="61"/>
      <c r="AM209" s="60"/>
      <c r="AN209" s="31"/>
      <c r="AO209" s="61"/>
      <c r="AP209" s="60"/>
      <c r="AQ209" s="31"/>
      <c r="AR209" s="61"/>
      <c r="AS209" s="60"/>
      <c r="AT209" s="31"/>
      <c r="AU209" s="61"/>
      <c r="AV209" s="60"/>
      <c r="AW209" s="31"/>
      <c r="AX209" s="61"/>
    </row>
    <row r="210" ht="39.75" customHeight="1">
      <c r="A210" s="62"/>
      <c r="B210" s="156"/>
      <c r="C210" s="105" t="str">
        <f>VLOOKUP(D210,[1]Saldo!A209:B31482,2,0)</f>
        <v>#ERROR!</v>
      </c>
      <c r="D210" s="68" t="s">
        <v>883</v>
      </c>
      <c r="E210" s="68" t="s">
        <v>884</v>
      </c>
      <c r="F210" s="149">
        <v>3.0</v>
      </c>
      <c r="G210" s="68">
        <v>4000.0</v>
      </c>
      <c r="H210" s="150">
        <f>'PAINEL DE CONTROLE'!$G$5</f>
        <v>28359</v>
      </c>
      <c r="I210" s="150">
        <v>24649.0</v>
      </c>
      <c r="J210" s="150">
        <f t="shared" si="3"/>
        <v>28649</v>
      </c>
      <c r="K210" s="151">
        <f t="shared" si="4"/>
        <v>290</v>
      </c>
      <c r="L210" s="60"/>
      <c r="M210" s="31"/>
      <c r="N210" s="61"/>
      <c r="O210" s="60"/>
      <c r="P210" s="31"/>
      <c r="Q210" s="61"/>
      <c r="R210" s="60"/>
      <c r="S210" s="31"/>
      <c r="T210" s="61"/>
      <c r="U210" s="60"/>
      <c r="V210" s="31"/>
      <c r="W210" s="61"/>
      <c r="X210" s="60"/>
      <c r="Y210" s="31"/>
      <c r="Z210" s="61"/>
      <c r="AA210" s="60"/>
      <c r="AB210" s="31"/>
      <c r="AC210" s="61"/>
      <c r="AD210" s="60"/>
      <c r="AE210" s="31"/>
      <c r="AF210" s="61"/>
      <c r="AG210" s="60"/>
      <c r="AH210" s="31"/>
      <c r="AI210" s="61"/>
      <c r="AJ210" s="60"/>
      <c r="AK210" s="31"/>
      <c r="AL210" s="61"/>
      <c r="AM210" s="60"/>
      <c r="AN210" s="31"/>
      <c r="AO210" s="61"/>
      <c r="AP210" s="60"/>
      <c r="AQ210" s="31"/>
      <c r="AR210" s="61"/>
      <c r="AS210" s="60"/>
      <c r="AT210" s="31"/>
      <c r="AU210" s="61"/>
      <c r="AV210" s="60"/>
      <c r="AW210" s="31"/>
      <c r="AX210" s="61"/>
    </row>
    <row r="211" ht="39.75" customHeight="1">
      <c r="A211" s="62"/>
      <c r="B211" s="156"/>
      <c r="C211" s="105" t="str">
        <f>VLOOKUP(D211,[1]Saldo!A210:B31483,2,0)</f>
        <v>#ERROR!</v>
      </c>
      <c r="D211" s="68" t="s">
        <v>885</v>
      </c>
      <c r="E211" s="68" t="s">
        <v>884</v>
      </c>
      <c r="F211" s="149">
        <v>3.0</v>
      </c>
      <c r="G211" s="68">
        <v>4000.0</v>
      </c>
      <c r="H211" s="150">
        <f>'PAINEL DE CONTROLE'!$G$5</f>
        <v>28359</v>
      </c>
      <c r="I211" s="150">
        <v>24649.0</v>
      </c>
      <c r="J211" s="150">
        <f t="shared" si="3"/>
        <v>28649</v>
      </c>
      <c r="K211" s="151">
        <f t="shared" si="4"/>
        <v>290</v>
      </c>
      <c r="L211" s="60"/>
      <c r="M211" s="31"/>
      <c r="N211" s="61"/>
      <c r="O211" s="60"/>
      <c r="P211" s="31"/>
      <c r="Q211" s="61"/>
      <c r="R211" s="60"/>
      <c r="S211" s="31"/>
      <c r="T211" s="61"/>
      <c r="U211" s="60"/>
      <c r="V211" s="31"/>
      <c r="W211" s="61"/>
      <c r="X211" s="60"/>
      <c r="Y211" s="31"/>
      <c r="Z211" s="61"/>
      <c r="AA211" s="60"/>
      <c r="AB211" s="31"/>
      <c r="AC211" s="61"/>
      <c r="AD211" s="60"/>
      <c r="AE211" s="31"/>
      <c r="AF211" s="61"/>
      <c r="AG211" s="60"/>
      <c r="AH211" s="31"/>
      <c r="AI211" s="61"/>
      <c r="AJ211" s="60"/>
      <c r="AK211" s="31"/>
      <c r="AL211" s="61"/>
      <c r="AM211" s="60"/>
      <c r="AN211" s="31"/>
      <c r="AO211" s="61"/>
      <c r="AP211" s="60"/>
      <c r="AQ211" s="31"/>
      <c r="AR211" s="61"/>
      <c r="AS211" s="60"/>
      <c r="AT211" s="31"/>
      <c r="AU211" s="61"/>
      <c r="AV211" s="60"/>
      <c r="AW211" s="31"/>
      <c r="AX211" s="61"/>
    </row>
    <row r="212" ht="39.75" customHeight="1">
      <c r="A212" s="62"/>
      <c r="B212" s="156"/>
      <c r="C212" s="105" t="str">
        <f>VLOOKUP(D212,[1]Saldo!A211:B31484,2,0)</f>
        <v>#ERROR!</v>
      </c>
      <c r="D212" s="68" t="s">
        <v>886</v>
      </c>
      <c r="E212" s="68" t="s">
        <v>804</v>
      </c>
      <c r="F212" s="149">
        <v>20.0</v>
      </c>
      <c r="G212" s="68">
        <v>4000.0</v>
      </c>
      <c r="H212" s="150">
        <f>'PAINEL DE CONTROLE'!$G$5</f>
        <v>28359</v>
      </c>
      <c r="I212" s="150">
        <v>24649.0</v>
      </c>
      <c r="J212" s="150">
        <f t="shared" si="3"/>
        <v>28649</v>
      </c>
      <c r="K212" s="151">
        <f t="shared" si="4"/>
        <v>290</v>
      </c>
      <c r="L212" s="60"/>
      <c r="M212" s="31"/>
      <c r="N212" s="61"/>
      <c r="O212" s="60"/>
      <c r="P212" s="31"/>
      <c r="Q212" s="61"/>
      <c r="R212" s="60"/>
      <c r="S212" s="31"/>
      <c r="T212" s="61"/>
      <c r="U212" s="60"/>
      <c r="V212" s="31"/>
      <c r="W212" s="61"/>
      <c r="X212" s="60"/>
      <c r="Y212" s="31"/>
      <c r="Z212" s="61"/>
      <c r="AA212" s="60"/>
      <c r="AB212" s="31"/>
      <c r="AC212" s="61"/>
      <c r="AD212" s="60"/>
      <c r="AE212" s="31"/>
      <c r="AF212" s="61"/>
      <c r="AG212" s="60"/>
      <c r="AH212" s="31"/>
      <c r="AI212" s="61"/>
      <c r="AJ212" s="60"/>
      <c r="AK212" s="31"/>
      <c r="AL212" s="61"/>
      <c r="AM212" s="60"/>
      <c r="AN212" s="31"/>
      <c r="AO212" s="61"/>
      <c r="AP212" s="60"/>
      <c r="AQ212" s="31"/>
      <c r="AR212" s="61"/>
      <c r="AS212" s="60"/>
      <c r="AT212" s="31"/>
      <c r="AU212" s="61"/>
      <c r="AV212" s="60"/>
      <c r="AW212" s="31"/>
      <c r="AX212" s="61"/>
    </row>
    <row r="213" ht="39.75" customHeight="1">
      <c r="A213" s="62"/>
      <c r="B213" s="156"/>
      <c r="C213" s="105" t="str">
        <f>VLOOKUP(D213,[1]Saldo!A212:B31485,2,0)</f>
        <v>#ERROR!</v>
      </c>
      <c r="D213" s="68" t="s">
        <v>887</v>
      </c>
      <c r="E213" s="68" t="s">
        <v>605</v>
      </c>
      <c r="F213" s="149">
        <v>3.0</v>
      </c>
      <c r="G213" s="68">
        <v>4000.0</v>
      </c>
      <c r="H213" s="150">
        <f>'PAINEL DE CONTROLE'!$G$5</f>
        <v>28359</v>
      </c>
      <c r="I213" s="150">
        <v>24649.0</v>
      </c>
      <c r="J213" s="150">
        <f t="shared" si="3"/>
        <v>28649</v>
      </c>
      <c r="K213" s="151">
        <f t="shared" si="4"/>
        <v>290</v>
      </c>
      <c r="L213" s="60"/>
      <c r="M213" s="31"/>
      <c r="N213" s="61"/>
      <c r="O213" s="60"/>
      <c r="P213" s="31"/>
      <c r="Q213" s="61"/>
      <c r="R213" s="60"/>
      <c r="S213" s="31"/>
      <c r="T213" s="61"/>
      <c r="U213" s="60"/>
      <c r="V213" s="31"/>
      <c r="W213" s="61"/>
      <c r="X213" s="60"/>
      <c r="Y213" s="31"/>
      <c r="Z213" s="61"/>
      <c r="AA213" s="60"/>
      <c r="AB213" s="31"/>
      <c r="AC213" s="61"/>
      <c r="AD213" s="60"/>
      <c r="AE213" s="31"/>
      <c r="AF213" s="61"/>
      <c r="AG213" s="60"/>
      <c r="AH213" s="31"/>
      <c r="AI213" s="61"/>
      <c r="AJ213" s="60"/>
      <c r="AK213" s="31"/>
      <c r="AL213" s="61"/>
      <c r="AM213" s="60"/>
      <c r="AN213" s="31"/>
      <c r="AO213" s="61"/>
      <c r="AP213" s="60"/>
      <c r="AQ213" s="31"/>
      <c r="AR213" s="61"/>
      <c r="AS213" s="60"/>
      <c r="AT213" s="31"/>
      <c r="AU213" s="61"/>
      <c r="AV213" s="60"/>
      <c r="AW213" s="31"/>
      <c r="AX213" s="61"/>
    </row>
    <row r="214" ht="39.75" customHeight="1">
      <c r="A214" s="62"/>
      <c r="B214" s="156"/>
      <c r="C214" s="105" t="str">
        <f>VLOOKUP(D214,[1]Saldo!A213:B31486,2,0)</f>
        <v>#ERROR!</v>
      </c>
      <c r="D214" s="68" t="s">
        <v>888</v>
      </c>
      <c r="E214" s="68" t="s">
        <v>889</v>
      </c>
      <c r="F214" s="149">
        <v>6.0</v>
      </c>
      <c r="G214" s="68">
        <v>4000.0</v>
      </c>
      <c r="H214" s="150">
        <f>'PAINEL DE CONTROLE'!$G$5</f>
        <v>28359</v>
      </c>
      <c r="I214" s="150">
        <v>24649.0</v>
      </c>
      <c r="J214" s="150">
        <f t="shared" si="3"/>
        <v>28649</v>
      </c>
      <c r="K214" s="151">
        <f t="shared" si="4"/>
        <v>290</v>
      </c>
      <c r="L214" s="60"/>
      <c r="M214" s="31"/>
      <c r="N214" s="61"/>
      <c r="O214" s="60"/>
      <c r="P214" s="31"/>
      <c r="Q214" s="61"/>
      <c r="R214" s="60"/>
      <c r="S214" s="31"/>
      <c r="T214" s="61"/>
      <c r="U214" s="60"/>
      <c r="V214" s="31"/>
      <c r="W214" s="61"/>
      <c r="X214" s="60"/>
      <c r="Y214" s="31"/>
      <c r="Z214" s="61"/>
      <c r="AA214" s="60"/>
      <c r="AB214" s="31"/>
      <c r="AC214" s="61"/>
      <c r="AD214" s="60"/>
      <c r="AE214" s="31"/>
      <c r="AF214" s="61"/>
      <c r="AG214" s="60"/>
      <c r="AH214" s="31"/>
      <c r="AI214" s="61"/>
      <c r="AJ214" s="60"/>
      <c r="AK214" s="31"/>
      <c r="AL214" s="61"/>
      <c r="AM214" s="60"/>
      <c r="AN214" s="31"/>
      <c r="AO214" s="61"/>
      <c r="AP214" s="60"/>
      <c r="AQ214" s="31"/>
      <c r="AR214" s="61"/>
      <c r="AS214" s="60"/>
      <c r="AT214" s="31"/>
      <c r="AU214" s="61"/>
      <c r="AV214" s="60"/>
      <c r="AW214" s="31"/>
      <c r="AX214" s="61"/>
    </row>
    <row r="215" ht="39.75" customHeight="1">
      <c r="A215" s="62"/>
      <c r="B215" s="156"/>
      <c r="C215" s="105" t="str">
        <f>VLOOKUP(D215,[1]Saldo!A214:B31487,2,0)</f>
        <v>#ERROR!</v>
      </c>
      <c r="D215" s="68" t="s">
        <v>890</v>
      </c>
      <c r="E215" s="68" t="s">
        <v>891</v>
      </c>
      <c r="F215" s="149">
        <v>3.0</v>
      </c>
      <c r="G215" s="68">
        <v>4000.0</v>
      </c>
      <c r="H215" s="150">
        <f>'PAINEL DE CONTROLE'!$G$5</f>
        <v>28359</v>
      </c>
      <c r="I215" s="150">
        <v>24649.0</v>
      </c>
      <c r="J215" s="150">
        <f t="shared" si="3"/>
        <v>28649</v>
      </c>
      <c r="K215" s="151">
        <f t="shared" si="4"/>
        <v>290</v>
      </c>
      <c r="L215" s="60"/>
      <c r="M215" s="31"/>
      <c r="N215" s="61"/>
      <c r="O215" s="60"/>
      <c r="P215" s="31"/>
      <c r="Q215" s="61"/>
      <c r="R215" s="60"/>
      <c r="S215" s="31"/>
      <c r="T215" s="61"/>
      <c r="U215" s="60"/>
      <c r="V215" s="31"/>
      <c r="W215" s="61"/>
      <c r="X215" s="60"/>
      <c r="Y215" s="31"/>
      <c r="Z215" s="61"/>
      <c r="AA215" s="60"/>
      <c r="AB215" s="31"/>
      <c r="AC215" s="61"/>
      <c r="AD215" s="60"/>
      <c r="AE215" s="31"/>
      <c r="AF215" s="61"/>
      <c r="AG215" s="60"/>
      <c r="AH215" s="31"/>
      <c r="AI215" s="61"/>
      <c r="AJ215" s="60"/>
      <c r="AK215" s="31"/>
      <c r="AL215" s="61"/>
      <c r="AM215" s="60"/>
      <c r="AN215" s="31"/>
      <c r="AO215" s="61"/>
      <c r="AP215" s="60"/>
      <c r="AQ215" s="31"/>
      <c r="AR215" s="61"/>
      <c r="AS215" s="60"/>
      <c r="AT215" s="31"/>
      <c r="AU215" s="61"/>
      <c r="AV215" s="60"/>
      <c r="AW215" s="31"/>
      <c r="AX215" s="61"/>
    </row>
    <row r="216" ht="39.75" customHeight="1">
      <c r="A216" s="62"/>
      <c r="B216" s="156"/>
      <c r="C216" s="105" t="str">
        <f>VLOOKUP(D216,[1]Saldo!A215:B31488,2,0)</f>
        <v>#ERROR!</v>
      </c>
      <c r="D216" s="68" t="s">
        <v>892</v>
      </c>
      <c r="E216" s="68" t="s">
        <v>893</v>
      </c>
      <c r="F216" s="149">
        <v>3.0</v>
      </c>
      <c r="G216" s="68">
        <v>4000.0</v>
      </c>
      <c r="H216" s="150">
        <f>'PAINEL DE CONTROLE'!$G$5</f>
        <v>28359</v>
      </c>
      <c r="I216" s="150">
        <v>24649.0</v>
      </c>
      <c r="J216" s="150">
        <f t="shared" si="3"/>
        <v>28649</v>
      </c>
      <c r="K216" s="151">
        <f t="shared" si="4"/>
        <v>290</v>
      </c>
      <c r="L216" s="60"/>
      <c r="M216" s="31"/>
      <c r="N216" s="61"/>
      <c r="O216" s="60"/>
      <c r="P216" s="31"/>
      <c r="Q216" s="61"/>
      <c r="R216" s="60"/>
      <c r="S216" s="31"/>
      <c r="T216" s="61"/>
      <c r="U216" s="60"/>
      <c r="V216" s="31"/>
      <c r="W216" s="61"/>
      <c r="X216" s="60"/>
      <c r="Y216" s="31"/>
      <c r="Z216" s="61"/>
      <c r="AA216" s="60"/>
      <c r="AB216" s="31"/>
      <c r="AC216" s="61"/>
      <c r="AD216" s="60"/>
      <c r="AE216" s="31"/>
      <c r="AF216" s="61"/>
      <c r="AG216" s="60"/>
      <c r="AH216" s="31"/>
      <c r="AI216" s="61"/>
      <c r="AJ216" s="60"/>
      <c r="AK216" s="31"/>
      <c r="AL216" s="61"/>
      <c r="AM216" s="60"/>
      <c r="AN216" s="31"/>
      <c r="AO216" s="61"/>
      <c r="AP216" s="60"/>
      <c r="AQ216" s="31"/>
      <c r="AR216" s="61"/>
      <c r="AS216" s="60"/>
      <c r="AT216" s="31"/>
      <c r="AU216" s="61"/>
      <c r="AV216" s="60"/>
      <c r="AW216" s="31"/>
      <c r="AX216" s="61"/>
    </row>
    <row r="217" ht="39.75" customHeight="1">
      <c r="A217" s="62"/>
      <c r="B217" s="156"/>
      <c r="C217" s="105" t="str">
        <f>VLOOKUP(D217,[1]Saldo!A216:B31489,2,0)</f>
        <v>#ERROR!</v>
      </c>
      <c r="D217" s="68" t="s">
        <v>894</v>
      </c>
      <c r="E217" s="68" t="s">
        <v>889</v>
      </c>
      <c r="F217" s="149">
        <v>3.0</v>
      </c>
      <c r="G217" s="68">
        <v>4000.0</v>
      </c>
      <c r="H217" s="150">
        <f>'PAINEL DE CONTROLE'!$G$5</f>
        <v>28359</v>
      </c>
      <c r="I217" s="150">
        <v>24649.0</v>
      </c>
      <c r="J217" s="150">
        <f t="shared" si="3"/>
        <v>28649</v>
      </c>
      <c r="K217" s="151">
        <f t="shared" si="4"/>
        <v>290</v>
      </c>
      <c r="L217" s="60"/>
      <c r="M217" s="31"/>
      <c r="N217" s="61"/>
      <c r="O217" s="60"/>
      <c r="P217" s="31"/>
      <c r="Q217" s="61"/>
      <c r="R217" s="60"/>
      <c r="S217" s="31"/>
      <c r="T217" s="61"/>
      <c r="U217" s="60"/>
      <c r="V217" s="31"/>
      <c r="W217" s="61"/>
      <c r="X217" s="60"/>
      <c r="Y217" s="31"/>
      <c r="Z217" s="61"/>
      <c r="AA217" s="60"/>
      <c r="AB217" s="31"/>
      <c r="AC217" s="61"/>
      <c r="AD217" s="60"/>
      <c r="AE217" s="31"/>
      <c r="AF217" s="61"/>
      <c r="AG217" s="60"/>
      <c r="AH217" s="31"/>
      <c r="AI217" s="61"/>
      <c r="AJ217" s="60"/>
      <c r="AK217" s="31"/>
      <c r="AL217" s="61"/>
      <c r="AM217" s="60"/>
      <c r="AN217" s="31"/>
      <c r="AO217" s="61"/>
      <c r="AP217" s="60"/>
      <c r="AQ217" s="31"/>
      <c r="AR217" s="61"/>
      <c r="AS217" s="60"/>
      <c r="AT217" s="31"/>
      <c r="AU217" s="61"/>
      <c r="AV217" s="60"/>
      <c r="AW217" s="31"/>
      <c r="AX217" s="61"/>
    </row>
    <row r="218" ht="39.75" customHeight="1">
      <c r="A218" s="62"/>
      <c r="B218" s="156"/>
      <c r="C218" s="105" t="str">
        <f>VLOOKUP(D218,[1]Saldo!A217:B31490,2,0)</f>
        <v>#ERROR!</v>
      </c>
      <c r="D218" s="68" t="s">
        <v>895</v>
      </c>
      <c r="E218" s="68" t="s">
        <v>896</v>
      </c>
      <c r="F218" s="149">
        <v>3.0</v>
      </c>
      <c r="G218" s="68">
        <v>4000.0</v>
      </c>
      <c r="H218" s="150">
        <f>'PAINEL DE CONTROLE'!$G$5</f>
        <v>28359</v>
      </c>
      <c r="I218" s="150">
        <v>24649.0</v>
      </c>
      <c r="J218" s="150">
        <f t="shared" si="3"/>
        <v>28649</v>
      </c>
      <c r="K218" s="151">
        <f t="shared" si="4"/>
        <v>290</v>
      </c>
      <c r="L218" s="60"/>
      <c r="M218" s="31"/>
      <c r="N218" s="61"/>
      <c r="O218" s="60"/>
      <c r="P218" s="31"/>
      <c r="Q218" s="61"/>
      <c r="R218" s="60"/>
      <c r="S218" s="31"/>
      <c r="T218" s="61"/>
      <c r="U218" s="60"/>
      <c r="V218" s="31"/>
      <c r="W218" s="61"/>
      <c r="X218" s="60"/>
      <c r="Y218" s="31"/>
      <c r="Z218" s="61"/>
      <c r="AA218" s="60"/>
      <c r="AB218" s="31"/>
      <c r="AC218" s="61"/>
      <c r="AD218" s="60"/>
      <c r="AE218" s="31"/>
      <c r="AF218" s="61"/>
      <c r="AG218" s="60"/>
      <c r="AH218" s="31"/>
      <c r="AI218" s="61"/>
      <c r="AJ218" s="60"/>
      <c r="AK218" s="31"/>
      <c r="AL218" s="61"/>
      <c r="AM218" s="60"/>
      <c r="AN218" s="31"/>
      <c r="AO218" s="61"/>
      <c r="AP218" s="60"/>
      <c r="AQ218" s="31"/>
      <c r="AR218" s="61"/>
      <c r="AS218" s="60"/>
      <c r="AT218" s="31"/>
      <c r="AU218" s="61"/>
      <c r="AV218" s="60"/>
      <c r="AW218" s="31"/>
      <c r="AX218" s="61"/>
    </row>
    <row r="219" ht="39.75" customHeight="1">
      <c r="A219" s="62"/>
      <c r="B219" s="156"/>
      <c r="C219" s="105" t="str">
        <f>VLOOKUP(D219,[1]Saldo!A218:B31491,2,0)</f>
        <v>#ERROR!</v>
      </c>
      <c r="D219" s="68" t="s">
        <v>897</v>
      </c>
      <c r="E219" s="68" t="s">
        <v>664</v>
      </c>
      <c r="F219" s="149">
        <v>3.0</v>
      </c>
      <c r="G219" s="68">
        <v>4000.0</v>
      </c>
      <c r="H219" s="150">
        <f>'PAINEL DE CONTROLE'!$G$5</f>
        <v>28359</v>
      </c>
      <c r="I219" s="150">
        <v>24649.0</v>
      </c>
      <c r="J219" s="150">
        <f t="shared" si="3"/>
        <v>28649</v>
      </c>
      <c r="K219" s="151">
        <f t="shared" si="4"/>
        <v>290</v>
      </c>
      <c r="L219" s="60"/>
      <c r="M219" s="31"/>
      <c r="N219" s="61"/>
      <c r="O219" s="60"/>
      <c r="P219" s="31"/>
      <c r="Q219" s="61"/>
      <c r="R219" s="60"/>
      <c r="S219" s="31"/>
      <c r="T219" s="61"/>
      <c r="U219" s="60"/>
      <c r="V219" s="31"/>
      <c r="W219" s="61"/>
      <c r="X219" s="60"/>
      <c r="Y219" s="31"/>
      <c r="Z219" s="61"/>
      <c r="AA219" s="60"/>
      <c r="AB219" s="31"/>
      <c r="AC219" s="61"/>
      <c r="AD219" s="60"/>
      <c r="AE219" s="31"/>
      <c r="AF219" s="61"/>
      <c r="AG219" s="60"/>
      <c r="AH219" s="31"/>
      <c r="AI219" s="61"/>
      <c r="AJ219" s="60"/>
      <c r="AK219" s="31"/>
      <c r="AL219" s="61"/>
      <c r="AM219" s="60"/>
      <c r="AN219" s="31"/>
      <c r="AO219" s="61"/>
      <c r="AP219" s="60"/>
      <c r="AQ219" s="31"/>
      <c r="AR219" s="61"/>
      <c r="AS219" s="60"/>
      <c r="AT219" s="31"/>
      <c r="AU219" s="61"/>
      <c r="AV219" s="60"/>
      <c r="AW219" s="31"/>
      <c r="AX219" s="61"/>
    </row>
    <row r="220" ht="39.75" customHeight="1">
      <c r="A220" s="62"/>
      <c r="B220" s="156"/>
      <c r="C220" s="105" t="str">
        <f>VLOOKUP(D220,[1]Saldo!A219:B31492,2,0)</f>
        <v>#ERROR!</v>
      </c>
      <c r="D220" s="68" t="s">
        <v>761</v>
      </c>
      <c r="E220" s="68" t="s">
        <v>898</v>
      </c>
      <c r="F220" s="149">
        <v>3.0</v>
      </c>
      <c r="G220" s="68">
        <v>4000.0</v>
      </c>
      <c r="H220" s="150">
        <f>'PAINEL DE CONTROLE'!$G$5</f>
        <v>28359</v>
      </c>
      <c r="I220" s="150">
        <v>24649.0</v>
      </c>
      <c r="J220" s="150">
        <f t="shared" si="3"/>
        <v>28649</v>
      </c>
      <c r="K220" s="151">
        <f t="shared" si="4"/>
        <v>290</v>
      </c>
      <c r="L220" s="60"/>
      <c r="M220" s="31"/>
      <c r="N220" s="61"/>
      <c r="O220" s="60"/>
      <c r="P220" s="31"/>
      <c r="Q220" s="61"/>
      <c r="R220" s="60"/>
      <c r="S220" s="31"/>
      <c r="T220" s="61"/>
      <c r="U220" s="60"/>
      <c r="V220" s="31"/>
      <c r="W220" s="61"/>
      <c r="X220" s="60"/>
      <c r="Y220" s="31"/>
      <c r="Z220" s="61"/>
      <c r="AA220" s="60"/>
      <c r="AB220" s="31"/>
      <c r="AC220" s="61"/>
      <c r="AD220" s="60"/>
      <c r="AE220" s="31"/>
      <c r="AF220" s="61"/>
      <c r="AG220" s="60"/>
      <c r="AH220" s="31"/>
      <c r="AI220" s="61"/>
      <c r="AJ220" s="60"/>
      <c r="AK220" s="31"/>
      <c r="AL220" s="61"/>
      <c r="AM220" s="60"/>
      <c r="AN220" s="31"/>
      <c r="AO220" s="61"/>
      <c r="AP220" s="60"/>
      <c r="AQ220" s="31"/>
      <c r="AR220" s="61"/>
      <c r="AS220" s="60"/>
      <c r="AT220" s="31"/>
      <c r="AU220" s="61"/>
      <c r="AV220" s="60"/>
      <c r="AW220" s="31"/>
      <c r="AX220" s="61"/>
    </row>
    <row r="221" ht="39.75" customHeight="1">
      <c r="A221" s="62"/>
      <c r="B221" s="156"/>
      <c r="C221" s="105" t="str">
        <f>VLOOKUP(D221,[1]Saldo!A220:B31493,2,0)</f>
        <v>#ERROR!</v>
      </c>
      <c r="D221" s="68" t="s">
        <v>899</v>
      </c>
      <c r="E221" s="68" t="s">
        <v>742</v>
      </c>
      <c r="F221" s="149">
        <v>4.0</v>
      </c>
      <c r="G221" s="68">
        <v>4000.0</v>
      </c>
      <c r="H221" s="150">
        <f>'PAINEL DE CONTROLE'!$G$5</f>
        <v>28359</v>
      </c>
      <c r="I221" s="150">
        <v>24649.0</v>
      </c>
      <c r="J221" s="150">
        <f t="shared" si="3"/>
        <v>28649</v>
      </c>
      <c r="K221" s="151">
        <f t="shared" si="4"/>
        <v>290</v>
      </c>
      <c r="L221" s="60"/>
      <c r="M221" s="31"/>
      <c r="N221" s="61"/>
      <c r="O221" s="60"/>
      <c r="P221" s="31"/>
      <c r="Q221" s="61"/>
      <c r="R221" s="60"/>
      <c r="S221" s="31"/>
      <c r="T221" s="61"/>
      <c r="U221" s="60"/>
      <c r="V221" s="31"/>
      <c r="W221" s="61"/>
      <c r="X221" s="60"/>
      <c r="Y221" s="31"/>
      <c r="Z221" s="61"/>
      <c r="AA221" s="60"/>
      <c r="AB221" s="31"/>
      <c r="AC221" s="61"/>
      <c r="AD221" s="60"/>
      <c r="AE221" s="31"/>
      <c r="AF221" s="61"/>
      <c r="AG221" s="60"/>
      <c r="AH221" s="31"/>
      <c r="AI221" s="61"/>
      <c r="AJ221" s="60"/>
      <c r="AK221" s="31"/>
      <c r="AL221" s="61"/>
      <c r="AM221" s="60"/>
      <c r="AN221" s="31"/>
      <c r="AO221" s="61"/>
      <c r="AP221" s="60"/>
      <c r="AQ221" s="31"/>
      <c r="AR221" s="61"/>
      <c r="AS221" s="60"/>
      <c r="AT221" s="31"/>
      <c r="AU221" s="61"/>
      <c r="AV221" s="60"/>
      <c r="AW221" s="31"/>
      <c r="AX221" s="61"/>
    </row>
    <row r="222" ht="39.75" customHeight="1">
      <c r="A222" s="62"/>
      <c r="B222" s="156"/>
      <c r="C222" s="105" t="str">
        <f>VLOOKUP(D222,[1]Saldo!A221:B31494,2,0)</f>
        <v>#ERROR!</v>
      </c>
      <c r="D222" s="68" t="s">
        <v>900</v>
      </c>
      <c r="E222" s="68" t="s">
        <v>672</v>
      </c>
      <c r="F222" s="149">
        <v>2.0</v>
      </c>
      <c r="G222" s="68">
        <v>4000.0</v>
      </c>
      <c r="H222" s="150">
        <f>'PAINEL DE CONTROLE'!$G$5</f>
        <v>28359</v>
      </c>
      <c r="I222" s="150">
        <v>24649.0</v>
      </c>
      <c r="J222" s="150">
        <f t="shared" si="3"/>
        <v>28649</v>
      </c>
      <c r="K222" s="151">
        <f t="shared" si="4"/>
        <v>290</v>
      </c>
      <c r="L222" s="60"/>
      <c r="M222" s="31"/>
      <c r="N222" s="61"/>
      <c r="O222" s="60"/>
      <c r="P222" s="31"/>
      <c r="Q222" s="61"/>
      <c r="R222" s="60"/>
      <c r="S222" s="31"/>
      <c r="T222" s="61"/>
      <c r="U222" s="60"/>
      <c r="V222" s="31"/>
      <c r="W222" s="61"/>
      <c r="X222" s="60"/>
      <c r="Y222" s="31"/>
      <c r="Z222" s="61"/>
      <c r="AA222" s="60"/>
      <c r="AB222" s="31"/>
      <c r="AC222" s="61"/>
      <c r="AD222" s="60"/>
      <c r="AE222" s="31"/>
      <c r="AF222" s="61"/>
      <c r="AG222" s="60"/>
      <c r="AH222" s="31"/>
      <c r="AI222" s="61"/>
      <c r="AJ222" s="60"/>
      <c r="AK222" s="31"/>
      <c r="AL222" s="61"/>
      <c r="AM222" s="60"/>
      <c r="AN222" s="31"/>
      <c r="AO222" s="61"/>
      <c r="AP222" s="60"/>
      <c r="AQ222" s="31"/>
      <c r="AR222" s="61"/>
      <c r="AS222" s="60"/>
      <c r="AT222" s="31"/>
      <c r="AU222" s="61"/>
      <c r="AV222" s="60"/>
      <c r="AW222" s="31"/>
      <c r="AX222" s="61"/>
    </row>
    <row r="223" ht="39.75" customHeight="1">
      <c r="A223" s="62"/>
      <c r="B223" s="156"/>
      <c r="C223" s="105" t="str">
        <f>VLOOKUP(D223,[1]Saldo!A222:B31495,2,0)</f>
        <v>#ERROR!</v>
      </c>
      <c r="D223" s="68" t="s">
        <v>654</v>
      </c>
      <c r="E223" s="68" t="s">
        <v>672</v>
      </c>
      <c r="F223" s="149">
        <v>4.0</v>
      </c>
      <c r="G223" s="68">
        <v>4000.0</v>
      </c>
      <c r="H223" s="150">
        <f>'PAINEL DE CONTROLE'!$G$5</f>
        <v>28359</v>
      </c>
      <c r="I223" s="150">
        <v>24649.0</v>
      </c>
      <c r="J223" s="150">
        <f t="shared" si="3"/>
        <v>28649</v>
      </c>
      <c r="K223" s="151">
        <f t="shared" si="4"/>
        <v>290</v>
      </c>
      <c r="L223" s="60"/>
      <c r="M223" s="31"/>
      <c r="N223" s="61"/>
      <c r="O223" s="60"/>
      <c r="P223" s="31"/>
      <c r="Q223" s="61"/>
      <c r="R223" s="60"/>
      <c r="S223" s="31"/>
      <c r="T223" s="61"/>
      <c r="U223" s="60"/>
      <c r="V223" s="31"/>
      <c r="W223" s="61"/>
      <c r="X223" s="60"/>
      <c r="Y223" s="31"/>
      <c r="Z223" s="61"/>
      <c r="AA223" s="60"/>
      <c r="AB223" s="31"/>
      <c r="AC223" s="61"/>
      <c r="AD223" s="60"/>
      <c r="AE223" s="31"/>
      <c r="AF223" s="61"/>
      <c r="AG223" s="60"/>
      <c r="AH223" s="31"/>
      <c r="AI223" s="61"/>
      <c r="AJ223" s="60"/>
      <c r="AK223" s="31"/>
      <c r="AL223" s="61"/>
      <c r="AM223" s="60"/>
      <c r="AN223" s="31"/>
      <c r="AO223" s="61"/>
      <c r="AP223" s="60"/>
      <c r="AQ223" s="31"/>
      <c r="AR223" s="61"/>
      <c r="AS223" s="60"/>
      <c r="AT223" s="31"/>
      <c r="AU223" s="61"/>
      <c r="AV223" s="60"/>
      <c r="AW223" s="31"/>
      <c r="AX223" s="61"/>
    </row>
    <row r="224" ht="39.75" customHeight="1">
      <c r="A224" s="62"/>
      <c r="B224" s="156"/>
      <c r="C224" s="105" t="str">
        <f>VLOOKUP(D224,[1]Saldo!A223:B31496,2,0)</f>
        <v>#ERROR!</v>
      </c>
      <c r="D224" s="68" t="s">
        <v>901</v>
      </c>
      <c r="E224" s="68" t="s">
        <v>804</v>
      </c>
      <c r="F224" s="149">
        <v>6.0</v>
      </c>
      <c r="G224" s="68">
        <v>4000.0</v>
      </c>
      <c r="H224" s="150">
        <f>'PAINEL DE CONTROLE'!$G$5</f>
        <v>28359</v>
      </c>
      <c r="I224" s="150">
        <v>24649.0</v>
      </c>
      <c r="J224" s="150">
        <f t="shared" si="3"/>
        <v>28649</v>
      </c>
      <c r="K224" s="151">
        <f t="shared" si="4"/>
        <v>290</v>
      </c>
      <c r="L224" s="60"/>
      <c r="M224" s="31"/>
      <c r="N224" s="61"/>
      <c r="O224" s="60"/>
      <c r="P224" s="31"/>
      <c r="Q224" s="61"/>
      <c r="R224" s="60"/>
      <c r="S224" s="31"/>
      <c r="T224" s="61"/>
      <c r="U224" s="60"/>
      <c r="V224" s="31"/>
      <c r="W224" s="61"/>
      <c r="X224" s="60"/>
      <c r="Y224" s="31"/>
      <c r="Z224" s="61"/>
      <c r="AA224" s="60"/>
      <c r="AB224" s="31"/>
      <c r="AC224" s="61"/>
      <c r="AD224" s="60"/>
      <c r="AE224" s="31"/>
      <c r="AF224" s="61"/>
      <c r="AG224" s="60"/>
      <c r="AH224" s="31"/>
      <c r="AI224" s="61"/>
      <c r="AJ224" s="60"/>
      <c r="AK224" s="31"/>
      <c r="AL224" s="61"/>
      <c r="AM224" s="60"/>
      <c r="AN224" s="31"/>
      <c r="AO224" s="61"/>
      <c r="AP224" s="60"/>
      <c r="AQ224" s="31"/>
      <c r="AR224" s="61"/>
      <c r="AS224" s="60"/>
      <c r="AT224" s="31"/>
      <c r="AU224" s="61"/>
      <c r="AV224" s="60"/>
      <c r="AW224" s="31"/>
      <c r="AX224" s="61"/>
    </row>
    <row r="225" ht="39.75" customHeight="1">
      <c r="A225" s="62"/>
      <c r="B225" s="156"/>
      <c r="C225" s="105" t="str">
        <f>VLOOKUP(D225,[1]Saldo!A224:B31497,2,0)</f>
        <v>#ERROR!</v>
      </c>
      <c r="D225" s="68" t="s">
        <v>902</v>
      </c>
      <c r="E225" s="68" t="s">
        <v>791</v>
      </c>
      <c r="F225" s="149">
        <v>24.0</v>
      </c>
      <c r="G225" s="68">
        <v>4000.0</v>
      </c>
      <c r="H225" s="150">
        <f>'PAINEL DE CONTROLE'!$G$5</f>
        <v>28359</v>
      </c>
      <c r="I225" s="150">
        <v>24649.0</v>
      </c>
      <c r="J225" s="150">
        <f t="shared" si="3"/>
        <v>28649</v>
      </c>
      <c r="K225" s="151">
        <f t="shared" si="4"/>
        <v>290</v>
      </c>
      <c r="L225" s="60"/>
      <c r="M225" s="31"/>
      <c r="N225" s="61"/>
      <c r="O225" s="60"/>
      <c r="P225" s="31"/>
      <c r="Q225" s="61"/>
      <c r="R225" s="60"/>
      <c r="S225" s="31"/>
      <c r="T225" s="61"/>
      <c r="U225" s="60"/>
      <c r="V225" s="31"/>
      <c r="W225" s="61"/>
      <c r="X225" s="60"/>
      <c r="Y225" s="31"/>
      <c r="Z225" s="61"/>
      <c r="AA225" s="60"/>
      <c r="AB225" s="31"/>
      <c r="AC225" s="61"/>
      <c r="AD225" s="60"/>
      <c r="AE225" s="31"/>
      <c r="AF225" s="61"/>
      <c r="AG225" s="60"/>
      <c r="AH225" s="31"/>
      <c r="AI225" s="61"/>
      <c r="AJ225" s="60"/>
      <c r="AK225" s="31"/>
      <c r="AL225" s="61"/>
      <c r="AM225" s="60"/>
      <c r="AN225" s="31"/>
      <c r="AO225" s="61"/>
      <c r="AP225" s="60"/>
      <c r="AQ225" s="31"/>
      <c r="AR225" s="61"/>
      <c r="AS225" s="60"/>
      <c r="AT225" s="31"/>
      <c r="AU225" s="61"/>
      <c r="AV225" s="60"/>
      <c r="AW225" s="31"/>
      <c r="AX225" s="61"/>
    </row>
    <row r="226" ht="39.75" customHeight="1">
      <c r="A226" s="62"/>
      <c r="B226" s="156"/>
      <c r="C226" s="105" t="str">
        <f>VLOOKUP(D226,[1]Saldo!A225:B31498,2,0)</f>
        <v>#ERROR!</v>
      </c>
      <c r="D226" s="68" t="s">
        <v>903</v>
      </c>
      <c r="E226" s="68" t="s">
        <v>891</v>
      </c>
      <c r="F226" s="149">
        <v>3.0</v>
      </c>
      <c r="G226" s="68">
        <v>4000.0</v>
      </c>
      <c r="H226" s="150">
        <f>'PAINEL DE CONTROLE'!$G$5</f>
        <v>28359</v>
      </c>
      <c r="I226" s="150">
        <v>24649.0</v>
      </c>
      <c r="J226" s="150">
        <f t="shared" si="3"/>
        <v>28649</v>
      </c>
      <c r="K226" s="151">
        <f t="shared" si="4"/>
        <v>290</v>
      </c>
      <c r="L226" s="60"/>
      <c r="M226" s="31"/>
      <c r="N226" s="61"/>
      <c r="O226" s="60"/>
      <c r="P226" s="31"/>
      <c r="Q226" s="61"/>
      <c r="R226" s="60"/>
      <c r="S226" s="31"/>
      <c r="T226" s="61"/>
      <c r="U226" s="60"/>
      <c r="V226" s="31"/>
      <c r="W226" s="61"/>
      <c r="X226" s="60"/>
      <c r="Y226" s="31"/>
      <c r="Z226" s="61"/>
      <c r="AA226" s="60"/>
      <c r="AB226" s="31"/>
      <c r="AC226" s="61"/>
      <c r="AD226" s="60"/>
      <c r="AE226" s="31"/>
      <c r="AF226" s="61"/>
      <c r="AG226" s="60"/>
      <c r="AH226" s="31"/>
      <c r="AI226" s="61"/>
      <c r="AJ226" s="60"/>
      <c r="AK226" s="31"/>
      <c r="AL226" s="61"/>
      <c r="AM226" s="60"/>
      <c r="AN226" s="31"/>
      <c r="AO226" s="61"/>
      <c r="AP226" s="60"/>
      <c r="AQ226" s="31"/>
      <c r="AR226" s="61"/>
      <c r="AS226" s="60"/>
      <c r="AT226" s="31"/>
      <c r="AU226" s="61"/>
      <c r="AV226" s="60"/>
      <c r="AW226" s="31"/>
      <c r="AX226" s="61"/>
    </row>
    <row r="227" ht="39.75" customHeight="1">
      <c r="A227" s="62"/>
      <c r="B227" s="156"/>
      <c r="C227" s="105" t="str">
        <f>VLOOKUP(D227,[1]Saldo!A226:B31499,2,0)</f>
        <v>#ERROR!</v>
      </c>
      <c r="D227" s="68" t="s">
        <v>904</v>
      </c>
      <c r="E227" s="68" t="s">
        <v>905</v>
      </c>
      <c r="F227" s="149">
        <v>14.0</v>
      </c>
      <c r="G227" s="68">
        <v>4000.0</v>
      </c>
      <c r="H227" s="150">
        <f>'PAINEL DE CONTROLE'!$G$5</f>
        <v>28359</v>
      </c>
      <c r="I227" s="150">
        <v>24649.0</v>
      </c>
      <c r="J227" s="150">
        <f t="shared" si="3"/>
        <v>28649</v>
      </c>
      <c r="K227" s="151">
        <f t="shared" si="4"/>
        <v>290</v>
      </c>
      <c r="L227" s="60"/>
      <c r="M227" s="31"/>
      <c r="N227" s="61"/>
      <c r="O227" s="60"/>
      <c r="P227" s="31"/>
      <c r="Q227" s="61"/>
      <c r="R227" s="60"/>
      <c r="S227" s="31"/>
      <c r="T227" s="61"/>
      <c r="U227" s="60"/>
      <c r="V227" s="31"/>
      <c r="W227" s="61"/>
      <c r="X227" s="60"/>
      <c r="Y227" s="31"/>
      <c r="Z227" s="61"/>
      <c r="AA227" s="60"/>
      <c r="AB227" s="31"/>
      <c r="AC227" s="61"/>
      <c r="AD227" s="60"/>
      <c r="AE227" s="31"/>
      <c r="AF227" s="61"/>
      <c r="AG227" s="60"/>
      <c r="AH227" s="31"/>
      <c r="AI227" s="61"/>
      <c r="AJ227" s="60"/>
      <c r="AK227" s="31"/>
      <c r="AL227" s="61"/>
      <c r="AM227" s="60"/>
      <c r="AN227" s="31"/>
      <c r="AO227" s="61"/>
      <c r="AP227" s="60"/>
      <c r="AQ227" s="31"/>
      <c r="AR227" s="61"/>
      <c r="AS227" s="60"/>
      <c r="AT227" s="31"/>
      <c r="AU227" s="61"/>
      <c r="AV227" s="60"/>
      <c r="AW227" s="31"/>
      <c r="AX227" s="61"/>
    </row>
    <row r="228" ht="39.75" customHeight="1">
      <c r="A228" s="62"/>
      <c r="B228" s="156"/>
      <c r="C228" s="105" t="str">
        <f>VLOOKUP(D228,[1]Saldo!A227:B31500,2,0)</f>
        <v>#ERROR!</v>
      </c>
      <c r="D228" s="68" t="s">
        <v>906</v>
      </c>
      <c r="E228" s="68" t="s">
        <v>889</v>
      </c>
      <c r="F228" s="149">
        <v>3.0</v>
      </c>
      <c r="G228" s="68">
        <v>4000.0</v>
      </c>
      <c r="H228" s="150">
        <f>'PAINEL DE CONTROLE'!$G$5</f>
        <v>28359</v>
      </c>
      <c r="I228" s="150">
        <v>24649.0</v>
      </c>
      <c r="J228" s="150">
        <f t="shared" si="3"/>
        <v>28649</v>
      </c>
      <c r="K228" s="151">
        <f t="shared" si="4"/>
        <v>290</v>
      </c>
      <c r="L228" s="60"/>
      <c r="M228" s="31"/>
      <c r="N228" s="61"/>
      <c r="O228" s="60"/>
      <c r="P228" s="31"/>
      <c r="Q228" s="61"/>
      <c r="R228" s="60"/>
      <c r="S228" s="31"/>
      <c r="T228" s="61"/>
      <c r="U228" s="60"/>
      <c r="V228" s="31"/>
      <c r="W228" s="61"/>
      <c r="X228" s="60"/>
      <c r="Y228" s="31"/>
      <c r="Z228" s="61"/>
      <c r="AA228" s="60"/>
      <c r="AB228" s="31"/>
      <c r="AC228" s="61"/>
      <c r="AD228" s="60"/>
      <c r="AE228" s="31"/>
      <c r="AF228" s="61"/>
      <c r="AG228" s="60"/>
      <c r="AH228" s="31"/>
      <c r="AI228" s="61"/>
      <c r="AJ228" s="60"/>
      <c r="AK228" s="31"/>
      <c r="AL228" s="61"/>
      <c r="AM228" s="60"/>
      <c r="AN228" s="31"/>
      <c r="AO228" s="61"/>
      <c r="AP228" s="60"/>
      <c r="AQ228" s="31"/>
      <c r="AR228" s="61"/>
      <c r="AS228" s="60"/>
      <c r="AT228" s="31"/>
      <c r="AU228" s="61"/>
      <c r="AV228" s="60"/>
      <c r="AW228" s="31"/>
      <c r="AX228" s="61"/>
    </row>
    <row r="229" ht="39.75" customHeight="1">
      <c r="A229" s="62"/>
      <c r="B229" s="156"/>
      <c r="C229" s="105" t="str">
        <f>VLOOKUP(D229,[1]Saldo!A228:B31501,2,0)</f>
        <v>#ERROR!</v>
      </c>
      <c r="D229" s="68" t="s">
        <v>907</v>
      </c>
      <c r="E229" s="68" t="s">
        <v>889</v>
      </c>
      <c r="F229" s="149">
        <v>3.0</v>
      </c>
      <c r="G229" s="68">
        <v>4000.0</v>
      </c>
      <c r="H229" s="150">
        <f>'PAINEL DE CONTROLE'!$G$5</f>
        <v>28359</v>
      </c>
      <c r="I229" s="150">
        <v>24649.0</v>
      </c>
      <c r="J229" s="150">
        <f t="shared" si="3"/>
        <v>28649</v>
      </c>
      <c r="K229" s="151">
        <f t="shared" si="4"/>
        <v>290</v>
      </c>
      <c r="L229" s="60"/>
      <c r="M229" s="31"/>
      <c r="N229" s="61"/>
      <c r="O229" s="60"/>
      <c r="P229" s="31"/>
      <c r="Q229" s="61"/>
      <c r="R229" s="60"/>
      <c r="S229" s="31"/>
      <c r="T229" s="61"/>
      <c r="U229" s="60"/>
      <c r="V229" s="31"/>
      <c r="W229" s="61"/>
      <c r="X229" s="60"/>
      <c r="Y229" s="31"/>
      <c r="Z229" s="61"/>
      <c r="AA229" s="60"/>
      <c r="AB229" s="31"/>
      <c r="AC229" s="61"/>
      <c r="AD229" s="60"/>
      <c r="AE229" s="31"/>
      <c r="AF229" s="61"/>
      <c r="AG229" s="60"/>
      <c r="AH229" s="31"/>
      <c r="AI229" s="61"/>
      <c r="AJ229" s="60"/>
      <c r="AK229" s="31"/>
      <c r="AL229" s="61"/>
      <c r="AM229" s="60"/>
      <c r="AN229" s="31"/>
      <c r="AO229" s="61"/>
      <c r="AP229" s="60"/>
      <c r="AQ229" s="31"/>
      <c r="AR229" s="61"/>
      <c r="AS229" s="60"/>
      <c r="AT229" s="31"/>
      <c r="AU229" s="61"/>
      <c r="AV229" s="60"/>
      <c r="AW229" s="31"/>
      <c r="AX229" s="61"/>
    </row>
    <row r="230" ht="39.75" customHeight="1">
      <c r="A230" s="62"/>
      <c r="B230" s="156"/>
      <c r="C230" s="105" t="str">
        <f>VLOOKUP(D230,[1]Saldo!A229:B31502,2,0)</f>
        <v>#ERROR!</v>
      </c>
      <c r="D230" s="68" t="s">
        <v>908</v>
      </c>
      <c r="E230" s="68" t="s">
        <v>889</v>
      </c>
      <c r="F230" s="149">
        <v>3.0</v>
      </c>
      <c r="G230" s="68">
        <v>4000.0</v>
      </c>
      <c r="H230" s="150">
        <f>'PAINEL DE CONTROLE'!$G$5</f>
        <v>28359</v>
      </c>
      <c r="I230" s="150">
        <v>24649.0</v>
      </c>
      <c r="J230" s="150">
        <f t="shared" si="3"/>
        <v>28649</v>
      </c>
      <c r="K230" s="151">
        <f t="shared" si="4"/>
        <v>290</v>
      </c>
      <c r="L230" s="60"/>
      <c r="M230" s="31"/>
      <c r="N230" s="61"/>
      <c r="O230" s="60"/>
      <c r="P230" s="31"/>
      <c r="Q230" s="61"/>
      <c r="R230" s="60"/>
      <c r="S230" s="31"/>
      <c r="T230" s="61"/>
      <c r="U230" s="60"/>
      <c r="V230" s="31"/>
      <c r="W230" s="61"/>
      <c r="X230" s="60"/>
      <c r="Y230" s="31"/>
      <c r="Z230" s="61"/>
      <c r="AA230" s="60"/>
      <c r="AB230" s="31"/>
      <c r="AC230" s="61"/>
      <c r="AD230" s="60"/>
      <c r="AE230" s="31"/>
      <c r="AF230" s="61"/>
      <c r="AG230" s="60"/>
      <c r="AH230" s="31"/>
      <c r="AI230" s="61"/>
      <c r="AJ230" s="60"/>
      <c r="AK230" s="31"/>
      <c r="AL230" s="61"/>
      <c r="AM230" s="60"/>
      <c r="AN230" s="31"/>
      <c r="AO230" s="61"/>
      <c r="AP230" s="60"/>
      <c r="AQ230" s="31"/>
      <c r="AR230" s="61"/>
      <c r="AS230" s="60"/>
      <c r="AT230" s="31"/>
      <c r="AU230" s="61"/>
      <c r="AV230" s="60"/>
      <c r="AW230" s="31"/>
      <c r="AX230" s="61"/>
    </row>
    <row r="231" ht="39.75" customHeight="1">
      <c r="A231" s="62"/>
      <c r="B231" s="156"/>
      <c r="C231" s="105" t="str">
        <f>VLOOKUP(D231,[1]Saldo!A230:B31503,2,0)</f>
        <v>#ERROR!</v>
      </c>
      <c r="D231" s="68" t="s">
        <v>909</v>
      </c>
      <c r="E231" s="68" t="s">
        <v>672</v>
      </c>
      <c r="F231" s="149">
        <v>4.0</v>
      </c>
      <c r="G231" s="68">
        <v>4000.0</v>
      </c>
      <c r="H231" s="150">
        <f>'PAINEL DE CONTROLE'!$G$5</f>
        <v>28359</v>
      </c>
      <c r="I231" s="150">
        <v>24649.0</v>
      </c>
      <c r="J231" s="150">
        <f t="shared" si="3"/>
        <v>28649</v>
      </c>
      <c r="K231" s="151">
        <f t="shared" si="4"/>
        <v>290</v>
      </c>
      <c r="L231" s="60"/>
      <c r="M231" s="31"/>
      <c r="N231" s="61"/>
      <c r="O231" s="60"/>
      <c r="P231" s="31"/>
      <c r="Q231" s="61"/>
      <c r="R231" s="60"/>
      <c r="S231" s="31"/>
      <c r="T231" s="61"/>
      <c r="U231" s="60"/>
      <c r="V231" s="31"/>
      <c r="W231" s="61"/>
      <c r="X231" s="60"/>
      <c r="Y231" s="31"/>
      <c r="Z231" s="61"/>
      <c r="AA231" s="60"/>
      <c r="AB231" s="31"/>
      <c r="AC231" s="61"/>
      <c r="AD231" s="60"/>
      <c r="AE231" s="31"/>
      <c r="AF231" s="61"/>
      <c r="AG231" s="60"/>
      <c r="AH231" s="31"/>
      <c r="AI231" s="61"/>
      <c r="AJ231" s="60"/>
      <c r="AK231" s="31"/>
      <c r="AL231" s="61"/>
      <c r="AM231" s="60"/>
      <c r="AN231" s="31"/>
      <c r="AO231" s="61"/>
      <c r="AP231" s="60"/>
      <c r="AQ231" s="31"/>
      <c r="AR231" s="61"/>
      <c r="AS231" s="60"/>
      <c r="AT231" s="31"/>
      <c r="AU231" s="61"/>
      <c r="AV231" s="60"/>
      <c r="AW231" s="31"/>
      <c r="AX231" s="61"/>
    </row>
    <row r="232" ht="39.75" customHeight="1">
      <c r="A232" s="62"/>
      <c r="B232" s="156"/>
      <c r="C232" s="105" t="str">
        <f>VLOOKUP(D232,[1]Saldo!A231:B31504,2,0)</f>
        <v>#ERROR!</v>
      </c>
      <c r="D232" s="68" t="s">
        <v>910</v>
      </c>
      <c r="E232" s="68" t="s">
        <v>889</v>
      </c>
      <c r="F232" s="149">
        <v>2.0</v>
      </c>
      <c r="G232" s="68">
        <v>4000.0</v>
      </c>
      <c r="H232" s="150">
        <f>'PAINEL DE CONTROLE'!$G$5</f>
        <v>28359</v>
      </c>
      <c r="I232" s="150">
        <v>24649.0</v>
      </c>
      <c r="J232" s="150">
        <f t="shared" si="3"/>
        <v>28649</v>
      </c>
      <c r="K232" s="151">
        <f t="shared" si="4"/>
        <v>290</v>
      </c>
      <c r="L232" s="60"/>
      <c r="M232" s="31"/>
      <c r="N232" s="61"/>
      <c r="O232" s="60"/>
      <c r="P232" s="31"/>
      <c r="Q232" s="61"/>
      <c r="R232" s="60"/>
      <c r="S232" s="31"/>
      <c r="T232" s="61"/>
      <c r="U232" s="60"/>
      <c r="V232" s="31"/>
      <c r="W232" s="61"/>
      <c r="X232" s="60"/>
      <c r="Y232" s="31"/>
      <c r="Z232" s="61"/>
      <c r="AA232" s="60"/>
      <c r="AB232" s="31"/>
      <c r="AC232" s="61"/>
      <c r="AD232" s="60"/>
      <c r="AE232" s="31"/>
      <c r="AF232" s="61"/>
      <c r="AG232" s="60"/>
      <c r="AH232" s="31"/>
      <c r="AI232" s="61"/>
      <c r="AJ232" s="60"/>
      <c r="AK232" s="31"/>
      <c r="AL232" s="61"/>
      <c r="AM232" s="60"/>
      <c r="AN232" s="31"/>
      <c r="AO232" s="61"/>
      <c r="AP232" s="60"/>
      <c r="AQ232" s="31"/>
      <c r="AR232" s="61"/>
      <c r="AS232" s="60"/>
      <c r="AT232" s="31"/>
      <c r="AU232" s="61"/>
      <c r="AV232" s="60"/>
      <c r="AW232" s="31"/>
      <c r="AX232" s="61"/>
    </row>
    <row r="233" ht="39.75" customHeight="1">
      <c r="A233" s="63"/>
      <c r="B233" s="160">
        <v>671.0</v>
      </c>
      <c r="C233" s="105" t="s">
        <v>911</v>
      </c>
      <c r="D233" s="68" t="s">
        <v>912</v>
      </c>
      <c r="E233" s="68" t="s">
        <v>913</v>
      </c>
      <c r="F233" s="149">
        <v>1.0</v>
      </c>
      <c r="G233" s="68">
        <v>500.0</v>
      </c>
      <c r="H233" s="150">
        <f>'PAINEL DE CONTROLE'!$G$5</f>
        <v>28359</v>
      </c>
      <c r="I233" s="150">
        <v>26691.0</v>
      </c>
      <c r="J233" s="150">
        <f t="shared" si="3"/>
        <v>27191</v>
      </c>
      <c r="K233" s="151">
        <f t="shared" si="4"/>
        <v>-1168</v>
      </c>
      <c r="L233" s="60"/>
      <c r="M233" s="31"/>
      <c r="N233" s="61"/>
      <c r="O233" s="60"/>
      <c r="P233" s="31"/>
      <c r="Q233" s="61"/>
      <c r="R233" s="60"/>
      <c r="S233" s="31"/>
      <c r="T233" s="61"/>
      <c r="U233" s="60"/>
      <c r="V233" s="31"/>
      <c r="W233" s="61"/>
      <c r="X233" s="60"/>
      <c r="Y233" s="31"/>
      <c r="Z233" s="61"/>
      <c r="AA233" s="60"/>
      <c r="AB233" s="31"/>
      <c r="AC233" s="61"/>
      <c r="AD233" s="60"/>
      <c r="AE233" s="31"/>
      <c r="AF233" s="61"/>
      <c r="AG233" s="60"/>
      <c r="AH233" s="31"/>
      <c r="AI233" s="61"/>
      <c r="AJ233" s="60"/>
      <c r="AK233" s="31"/>
      <c r="AL233" s="61"/>
      <c r="AM233" s="60"/>
      <c r="AN233" s="31"/>
      <c r="AO233" s="61"/>
      <c r="AP233" s="60"/>
      <c r="AQ233" s="31"/>
      <c r="AR233" s="61"/>
      <c r="AS233" s="60"/>
      <c r="AT233" s="31"/>
      <c r="AU233" s="61"/>
      <c r="AV233" s="60"/>
      <c r="AW233" s="31"/>
      <c r="AX233" s="61"/>
    </row>
    <row r="234" ht="39.75" customHeight="1">
      <c r="A234" s="147" t="s">
        <v>914</v>
      </c>
      <c r="B234" s="156"/>
      <c r="C234" s="105" t="str">
        <f>VLOOKUP(D234,[1]Saldo!A232:B31505,2,0)</f>
        <v>#ERROR!</v>
      </c>
      <c r="D234" s="68" t="s">
        <v>915</v>
      </c>
      <c r="E234" s="68" t="s">
        <v>742</v>
      </c>
      <c r="F234" s="149">
        <v>4.0</v>
      </c>
      <c r="G234" s="68">
        <v>12000.0</v>
      </c>
      <c r="H234" s="150">
        <f>'PAINEL DE CONTROLE'!$G$5</f>
        <v>28359</v>
      </c>
      <c r="I234" s="150">
        <v>24649.0</v>
      </c>
      <c r="J234" s="150">
        <f t="shared" si="3"/>
        <v>36649</v>
      </c>
      <c r="K234" s="151">
        <f t="shared" si="4"/>
        <v>8290</v>
      </c>
      <c r="L234" s="60"/>
      <c r="M234" s="31"/>
      <c r="N234" s="61"/>
      <c r="O234" s="60"/>
      <c r="P234" s="31"/>
      <c r="Q234" s="61"/>
      <c r="R234" s="60"/>
      <c r="S234" s="31"/>
      <c r="T234" s="61"/>
      <c r="U234" s="60"/>
      <c r="V234" s="31"/>
      <c r="W234" s="61"/>
      <c r="X234" s="60"/>
      <c r="Y234" s="31"/>
      <c r="Z234" s="61"/>
      <c r="AA234" s="60"/>
      <c r="AB234" s="31"/>
      <c r="AC234" s="61"/>
      <c r="AD234" s="60"/>
      <c r="AE234" s="31"/>
      <c r="AF234" s="61"/>
      <c r="AG234" s="60"/>
      <c r="AH234" s="31"/>
      <c r="AI234" s="61"/>
      <c r="AJ234" s="60"/>
      <c r="AK234" s="31"/>
      <c r="AL234" s="61"/>
      <c r="AM234" s="60"/>
      <c r="AN234" s="31"/>
      <c r="AO234" s="61"/>
      <c r="AP234" s="60"/>
      <c r="AQ234" s="31"/>
      <c r="AR234" s="61"/>
      <c r="AS234" s="60"/>
      <c r="AT234" s="31"/>
      <c r="AU234" s="61"/>
      <c r="AV234" s="60"/>
      <c r="AW234" s="31"/>
      <c r="AX234" s="61"/>
    </row>
    <row r="235" ht="39.75" customHeight="1">
      <c r="A235" s="62"/>
      <c r="B235" s="156"/>
      <c r="C235" s="105" t="str">
        <f>VLOOKUP(D235,[1]Saldo!A233:B31506,2,0)</f>
        <v>#ERROR!</v>
      </c>
      <c r="D235" s="68" t="s">
        <v>916</v>
      </c>
      <c r="E235" s="68" t="s">
        <v>917</v>
      </c>
      <c r="F235" s="149">
        <v>2.0</v>
      </c>
      <c r="G235" s="68">
        <v>12000.0</v>
      </c>
      <c r="H235" s="150">
        <f>'PAINEL DE CONTROLE'!$G$5</f>
        <v>28359</v>
      </c>
      <c r="I235" s="150">
        <v>24649.0</v>
      </c>
      <c r="J235" s="150">
        <f t="shared" si="3"/>
        <v>36649</v>
      </c>
      <c r="K235" s="151">
        <f t="shared" si="4"/>
        <v>8290</v>
      </c>
      <c r="L235" s="60"/>
      <c r="M235" s="31"/>
      <c r="N235" s="61"/>
      <c r="O235" s="60"/>
      <c r="P235" s="31"/>
      <c r="Q235" s="61"/>
      <c r="R235" s="60"/>
      <c r="S235" s="31"/>
      <c r="T235" s="61"/>
      <c r="U235" s="60"/>
      <c r="V235" s="31"/>
      <c r="W235" s="61"/>
      <c r="X235" s="60"/>
      <c r="Y235" s="31"/>
      <c r="Z235" s="61"/>
      <c r="AA235" s="60"/>
      <c r="AB235" s="31"/>
      <c r="AC235" s="61"/>
      <c r="AD235" s="60"/>
      <c r="AE235" s="31"/>
      <c r="AF235" s="61"/>
      <c r="AG235" s="60"/>
      <c r="AH235" s="31"/>
      <c r="AI235" s="61"/>
      <c r="AJ235" s="60"/>
      <c r="AK235" s="31"/>
      <c r="AL235" s="61"/>
      <c r="AM235" s="60"/>
      <c r="AN235" s="31"/>
      <c r="AO235" s="61"/>
      <c r="AP235" s="60"/>
      <c r="AQ235" s="31"/>
      <c r="AR235" s="61"/>
      <c r="AS235" s="60"/>
      <c r="AT235" s="31"/>
      <c r="AU235" s="61"/>
      <c r="AV235" s="60"/>
      <c r="AW235" s="31"/>
      <c r="AX235" s="61"/>
    </row>
    <row r="236" ht="39.75" customHeight="1">
      <c r="A236" s="62"/>
      <c r="B236" s="156"/>
      <c r="C236" s="105" t="str">
        <f>VLOOKUP(D236,[1]Saldo!A234:B31507,2,0)</f>
        <v>#ERROR!</v>
      </c>
      <c r="D236" s="68" t="s">
        <v>918</v>
      </c>
      <c r="E236" s="68" t="s">
        <v>919</v>
      </c>
      <c r="F236" s="149">
        <v>4.0</v>
      </c>
      <c r="G236" s="68">
        <v>12000.0</v>
      </c>
      <c r="H236" s="150">
        <f>'PAINEL DE CONTROLE'!$G$5</f>
        <v>28359</v>
      </c>
      <c r="I236" s="150">
        <v>24649.0</v>
      </c>
      <c r="J236" s="150">
        <f t="shared" si="3"/>
        <v>36649</v>
      </c>
      <c r="K236" s="151">
        <f t="shared" si="4"/>
        <v>8290</v>
      </c>
      <c r="L236" s="60"/>
      <c r="M236" s="31"/>
      <c r="N236" s="61"/>
      <c r="O236" s="60"/>
      <c r="P236" s="31"/>
      <c r="Q236" s="61"/>
      <c r="R236" s="60"/>
      <c r="S236" s="31"/>
      <c r="T236" s="61"/>
      <c r="U236" s="60"/>
      <c r="V236" s="31"/>
      <c r="W236" s="61"/>
      <c r="X236" s="60"/>
      <c r="Y236" s="31"/>
      <c r="Z236" s="61"/>
      <c r="AA236" s="60"/>
      <c r="AB236" s="31"/>
      <c r="AC236" s="61"/>
      <c r="AD236" s="60"/>
      <c r="AE236" s="31"/>
      <c r="AF236" s="61"/>
      <c r="AG236" s="60"/>
      <c r="AH236" s="31"/>
      <c r="AI236" s="61"/>
      <c r="AJ236" s="60"/>
      <c r="AK236" s="31"/>
      <c r="AL236" s="61"/>
      <c r="AM236" s="60"/>
      <c r="AN236" s="31"/>
      <c r="AO236" s="61"/>
      <c r="AP236" s="60"/>
      <c r="AQ236" s="31"/>
      <c r="AR236" s="61"/>
      <c r="AS236" s="60"/>
      <c r="AT236" s="31"/>
      <c r="AU236" s="61"/>
      <c r="AV236" s="60"/>
      <c r="AW236" s="31"/>
      <c r="AX236" s="61"/>
    </row>
    <row r="237" ht="39.75" customHeight="1">
      <c r="A237" s="62"/>
      <c r="B237" s="156"/>
      <c r="C237" s="105" t="str">
        <f>VLOOKUP(D237,[1]Saldo!A235:B31508,2,0)</f>
        <v>#ERROR!</v>
      </c>
      <c r="D237" s="68" t="s">
        <v>920</v>
      </c>
      <c r="E237" s="68" t="s">
        <v>921</v>
      </c>
      <c r="F237" s="149">
        <v>1.0</v>
      </c>
      <c r="G237" s="68">
        <v>12000.0</v>
      </c>
      <c r="H237" s="150">
        <f>'PAINEL DE CONTROLE'!$G$5</f>
        <v>28359</v>
      </c>
      <c r="I237" s="150">
        <v>24649.0</v>
      </c>
      <c r="J237" s="150">
        <f t="shared" si="3"/>
        <v>36649</v>
      </c>
      <c r="K237" s="151">
        <f t="shared" si="4"/>
        <v>8290</v>
      </c>
      <c r="L237" s="60"/>
      <c r="M237" s="31"/>
      <c r="N237" s="61"/>
      <c r="O237" s="60"/>
      <c r="P237" s="31"/>
      <c r="Q237" s="61"/>
      <c r="R237" s="60"/>
      <c r="S237" s="31"/>
      <c r="T237" s="61"/>
      <c r="U237" s="60"/>
      <c r="V237" s="31"/>
      <c r="W237" s="61"/>
      <c r="X237" s="60"/>
      <c r="Y237" s="31"/>
      <c r="Z237" s="61"/>
      <c r="AA237" s="60"/>
      <c r="AB237" s="31"/>
      <c r="AC237" s="61"/>
      <c r="AD237" s="60"/>
      <c r="AE237" s="31"/>
      <c r="AF237" s="61"/>
      <c r="AG237" s="60"/>
      <c r="AH237" s="31"/>
      <c r="AI237" s="61"/>
      <c r="AJ237" s="60"/>
      <c r="AK237" s="31"/>
      <c r="AL237" s="61"/>
      <c r="AM237" s="60"/>
      <c r="AN237" s="31"/>
      <c r="AO237" s="61"/>
      <c r="AP237" s="60"/>
      <c r="AQ237" s="31"/>
      <c r="AR237" s="61"/>
      <c r="AS237" s="60"/>
      <c r="AT237" s="31"/>
      <c r="AU237" s="61"/>
      <c r="AV237" s="60"/>
      <c r="AW237" s="31"/>
      <c r="AX237" s="61"/>
    </row>
    <row r="238" ht="39.75" customHeight="1">
      <c r="A238" s="62"/>
      <c r="B238" s="156"/>
      <c r="C238" s="105" t="str">
        <f>VLOOKUP(D238,[1]Saldo!A236:B31509,2,0)</f>
        <v>#ERROR!</v>
      </c>
      <c r="D238" s="68" t="s">
        <v>922</v>
      </c>
      <c r="E238" s="68" t="s">
        <v>923</v>
      </c>
      <c r="F238" s="149">
        <v>1.0</v>
      </c>
      <c r="G238" s="68">
        <v>12000.0</v>
      </c>
      <c r="H238" s="150">
        <f>'PAINEL DE CONTROLE'!$G$5</f>
        <v>28359</v>
      </c>
      <c r="I238" s="150">
        <v>24649.0</v>
      </c>
      <c r="J238" s="150">
        <f t="shared" si="3"/>
        <v>36649</v>
      </c>
      <c r="K238" s="151">
        <f t="shared" si="4"/>
        <v>8290</v>
      </c>
      <c r="L238" s="60"/>
      <c r="M238" s="31"/>
      <c r="N238" s="61"/>
      <c r="O238" s="60"/>
      <c r="P238" s="31"/>
      <c r="Q238" s="61"/>
      <c r="R238" s="60"/>
      <c r="S238" s="31"/>
      <c r="T238" s="61"/>
      <c r="U238" s="60"/>
      <c r="V238" s="31"/>
      <c r="W238" s="61"/>
      <c r="X238" s="60"/>
      <c r="Y238" s="31"/>
      <c r="Z238" s="61"/>
      <c r="AA238" s="60"/>
      <c r="AB238" s="31"/>
      <c r="AC238" s="61"/>
      <c r="AD238" s="60"/>
      <c r="AE238" s="31"/>
      <c r="AF238" s="61"/>
      <c r="AG238" s="60"/>
      <c r="AH238" s="31"/>
      <c r="AI238" s="61"/>
      <c r="AJ238" s="60"/>
      <c r="AK238" s="31"/>
      <c r="AL238" s="61"/>
      <c r="AM238" s="60"/>
      <c r="AN238" s="31"/>
      <c r="AO238" s="61"/>
      <c r="AP238" s="60"/>
      <c r="AQ238" s="31"/>
      <c r="AR238" s="61"/>
      <c r="AS238" s="60"/>
      <c r="AT238" s="31"/>
      <c r="AU238" s="61"/>
      <c r="AV238" s="60"/>
      <c r="AW238" s="31"/>
      <c r="AX238" s="61"/>
    </row>
    <row r="239" ht="39.75" customHeight="1">
      <c r="A239" s="62"/>
      <c r="B239" s="156"/>
      <c r="C239" s="105" t="str">
        <f>VLOOKUP(D239,[1]Saldo!A237:B31510,2,0)</f>
        <v>#ERROR!</v>
      </c>
      <c r="D239" s="68" t="s">
        <v>924</v>
      </c>
      <c r="E239" s="68" t="s">
        <v>925</v>
      </c>
      <c r="F239" s="149">
        <v>2.0</v>
      </c>
      <c r="G239" s="68">
        <v>12000.0</v>
      </c>
      <c r="H239" s="150">
        <f>'PAINEL DE CONTROLE'!$G$5</f>
        <v>28359</v>
      </c>
      <c r="I239" s="150">
        <v>24649.0</v>
      </c>
      <c r="J239" s="150">
        <f t="shared" si="3"/>
        <v>36649</v>
      </c>
      <c r="K239" s="151">
        <f t="shared" si="4"/>
        <v>8290</v>
      </c>
      <c r="L239" s="60"/>
      <c r="M239" s="31"/>
      <c r="N239" s="61"/>
      <c r="O239" s="60"/>
      <c r="P239" s="31"/>
      <c r="Q239" s="61"/>
      <c r="R239" s="60"/>
      <c r="S239" s="31"/>
      <c r="T239" s="61"/>
      <c r="U239" s="60"/>
      <c r="V239" s="31"/>
      <c r="W239" s="61"/>
      <c r="X239" s="60"/>
      <c r="Y239" s="31"/>
      <c r="Z239" s="61"/>
      <c r="AA239" s="60"/>
      <c r="AB239" s="31"/>
      <c r="AC239" s="61"/>
      <c r="AD239" s="60"/>
      <c r="AE239" s="31"/>
      <c r="AF239" s="61"/>
      <c r="AG239" s="60"/>
      <c r="AH239" s="31"/>
      <c r="AI239" s="61"/>
      <c r="AJ239" s="60"/>
      <c r="AK239" s="31"/>
      <c r="AL239" s="61"/>
      <c r="AM239" s="60"/>
      <c r="AN239" s="31"/>
      <c r="AO239" s="61"/>
      <c r="AP239" s="60"/>
      <c r="AQ239" s="31"/>
      <c r="AR239" s="61"/>
      <c r="AS239" s="60"/>
      <c r="AT239" s="31"/>
      <c r="AU239" s="61"/>
      <c r="AV239" s="60"/>
      <c r="AW239" s="31"/>
      <c r="AX239" s="61"/>
    </row>
    <row r="240" ht="39.75" customHeight="1">
      <c r="A240" s="62"/>
      <c r="B240" s="156"/>
      <c r="C240" s="105" t="str">
        <f>VLOOKUP(D240,[1]Saldo!A238:B31511,2,0)</f>
        <v>#ERROR!</v>
      </c>
      <c r="D240" s="68" t="s">
        <v>926</v>
      </c>
      <c r="E240" s="68" t="s">
        <v>927</v>
      </c>
      <c r="F240" s="149">
        <v>2.0</v>
      </c>
      <c r="G240" s="68">
        <v>12000.0</v>
      </c>
      <c r="H240" s="150">
        <f>'PAINEL DE CONTROLE'!$G$5</f>
        <v>28359</v>
      </c>
      <c r="I240" s="150">
        <v>24649.0</v>
      </c>
      <c r="J240" s="150">
        <f t="shared" si="3"/>
        <v>36649</v>
      </c>
      <c r="K240" s="151">
        <f t="shared" si="4"/>
        <v>8290</v>
      </c>
      <c r="L240" s="60"/>
      <c r="M240" s="31"/>
      <c r="N240" s="61"/>
      <c r="O240" s="60"/>
      <c r="P240" s="31"/>
      <c r="Q240" s="61"/>
      <c r="R240" s="60"/>
      <c r="S240" s="31"/>
      <c r="T240" s="61"/>
      <c r="U240" s="60"/>
      <c r="V240" s="31"/>
      <c r="W240" s="61"/>
      <c r="X240" s="60"/>
      <c r="Y240" s="31"/>
      <c r="Z240" s="61"/>
      <c r="AA240" s="60"/>
      <c r="AB240" s="31"/>
      <c r="AC240" s="61"/>
      <c r="AD240" s="60"/>
      <c r="AE240" s="31"/>
      <c r="AF240" s="61"/>
      <c r="AG240" s="60"/>
      <c r="AH240" s="31"/>
      <c r="AI240" s="61"/>
      <c r="AJ240" s="60"/>
      <c r="AK240" s="31"/>
      <c r="AL240" s="61"/>
      <c r="AM240" s="60"/>
      <c r="AN240" s="31"/>
      <c r="AO240" s="61"/>
      <c r="AP240" s="60"/>
      <c r="AQ240" s="31"/>
      <c r="AR240" s="61"/>
      <c r="AS240" s="60"/>
      <c r="AT240" s="31"/>
      <c r="AU240" s="61"/>
      <c r="AV240" s="60"/>
      <c r="AW240" s="31"/>
      <c r="AX240" s="61"/>
    </row>
    <row r="241" ht="39.75" customHeight="1">
      <c r="A241" s="62"/>
      <c r="B241" s="156"/>
      <c r="C241" s="105" t="str">
        <f>VLOOKUP(D241,[1]Saldo!A239:B31512,2,0)</f>
        <v>#ERROR!</v>
      </c>
      <c r="D241" s="68" t="s">
        <v>928</v>
      </c>
      <c r="E241" s="68" t="s">
        <v>929</v>
      </c>
      <c r="F241" s="149">
        <v>2.0</v>
      </c>
      <c r="G241" s="68">
        <v>12000.0</v>
      </c>
      <c r="H241" s="150">
        <f>'PAINEL DE CONTROLE'!$G$5</f>
        <v>28359</v>
      </c>
      <c r="I241" s="150">
        <v>24649.0</v>
      </c>
      <c r="J241" s="150">
        <f t="shared" si="3"/>
        <v>36649</v>
      </c>
      <c r="K241" s="151">
        <f t="shared" si="4"/>
        <v>8290</v>
      </c>
      <c r="L241" s="60"/>
      <c r="M241" s="31"/>
      <c r="N241" s="61"/>
      <c r="O241" s="60"/>
      <c r="P241" s="31"/>
      <c r="Q241" s="61"/>
      <c r="R241" s="60"/>
      <c r="S241" s="31"/>
      <c r="T241" s="61"/>
      <c r="U241" s="60"/>
      <c r="V241" s="31"/>
      <c r="W241" s="61"/>
      <c r="X241" s="60"/>
      <c r="Y241" s="31"/>
      <c r="Z241" s="61"/>
      <c r="AA241" s="60"/>
      <c r="AB241" s="31"/>
      <c r="AC241" s="61"/>
      <c r="AD241" s="60"/>
      <c r="AE241" s="31"/>
      <c r="AF241" s="61"/>
      <c r="AG241" s="60"/>
      <c r="AH241" s="31"/>
      <c r="AI241" s="61"/>
      <c r="AJ241" s="60"/>
      <c r="AK241" s="31"/>
      <c r="AL241" s="61"/>
      <c r="AM241" s="60"/>
      <c r="AN241" s="31"/>
      <c r="AO241" s="61"/>
      <c r="AP241" s="60"/>
      <c r="AQ241" s="31"/>
      <c r="AR241" s="61"/>
      <c r="AS241" s="60"/>
      <c r="AT241" s="31"/>
      <c r="AU241" s="61"/>
      <c r="AV241" s="60"/>
      <c r="AW241" s="31"/>
      <c r="AX241" s="61"/>
    </row>
    <row r="242" ht="39.75" customHeight="1">
      <c r="A242" s="62"/>
      <c r="B242" s="156"/>
      <c r="C242" s="105" t="str">
        <f>VLOOKUP(D242,[1]Saldo!A240:B31513,2,0)</f>
        <v>#ERROR!</v>
      </c>
      <c r="D242" s="68" t="s">
        <v>930</v>
      </c>
      <c r="E242" s="68" t="s">
        <v>931</v>
      </c>
      <c r="F242" s="149">
        <v>2.0</v>
      </c>
      <c r="G242" s="68">
        <v>12000.0</v>
      </c>
      <c r="H242" s="150">
        <f>'PAINEL DE CONTROLE'!$G$5</f>
        <v>28359</v>
      </c>
      <c r="I242" s="150">
        <v>24649.0</v>
      </c>
      <c r="J242" s="150">
        <f t="shared" si="3"/>
        <v>36649</v>
      </c>
      <c r="K242" s="151">
        <f t="shared" si="4"/>
        <v>8290</v>
      </c>
      <c r="L242" s="60"/>
      <c r="M242" s="31"/>
      <c r="N242" s="61"/>
      <c r="O242" s="60"/>
      <c r="P242" s="31"/>
      <c r="Q242" s="61"/>
      <c r="R242" s="60"/>
      <c r="S242" s="31"/>
      <c r="T242" s="61"/>
      <c r="U242" s="60"/>
      <c r="V242" s="31"/>
      <c r="W242" s="61"/>
      <c r="X242" s="60"/>
      <c r="Y242" s="31"/>
      <c r="Z242" s="61"/>
      <c r="AA242" s="60"/>
      <c r="AB242" s="31"/>
      <c r="AC242" s="61"/>
      <c r="AD242" s="60"/>
      <c r="AE242" s="31"/>
      <c r="AF242" s="61"/>
      <c r="AG242" s="60"/>
      <c r="AH242" s="31"/>
      <c r="AI242" s="61"/>
      <c r="AJ242" s="60"/>
      <c r="AK242" s="31"/>
      <c r="AL242" s="61"/>
      <c r="AM242" s="60"/>
      <c r="AN242" s="31"/>
      <c r="AO242" s="61"/>
      <c r="AP242" s="60"/>
      <c r="AQ242" s="31"/>
      <c r="AR242" s="61"/>
      <c r="AS242" s="60"/>
      <c r="AT242" s="31"/>
      <c r="AU242" s="61"/>
      <c r="AV242" s="60"/>
      <c r="AW242" s="31"/>
      <c r="AX242" s="61"/>
    </row>
    <row r="243" ht="39.75" customHeight="1">
      <c r="A243" s="62"/>
      <c r="B243" s="156"/>
      <c r="C243" s="105" t="str">
        <f>VLOOKUP(D243,[1]Saldo!A241:B31514,2,0)</f>
        <v>#ERROR!</v>
      </c>
      <c r="D243" s="68" t="s">
        <v>932</v>
      </c>
      <c r="E243" s="68" t="s">
        <v>929</v>
      </c>
      <c r="F243" s="149">
        <v>2.0</v>
      </c>
      <c r="G243" s="68">
        <v>12000.0</v>
      </c>
      <c r="H243" s="150">
        <f>'PAINEL DE CONTROLE'!$G$5</f>
        <v>28359</v>
      </c>
      <c r="I243" s="150">
        <v>24649.0</v>
      </c>
      <c r="J243" s="150">
        <f t="shared" si="3"/>
        <v>36649</v>
      </c>
      <c r="K243" s="151">
        <f t="shared" si="4"/>
        <v>8290</v>
      </c>
      <c r="L243" s="60"/>
      <c r="M243" s="31"/>
      <c r="N243" s="61"/>
      <c r="O243" s="60"/>
      <c r="P243" s="31"/>
      <c r="Q243" s="61"/>
      <c r="R243" s="60"/>
      <c r="S243" s="31"/>
      <c r="T243" s="61"/>
      <c r="U243" s="60"/>
      <c r="V243" s="31"/>
      <c r="W243" s="61"/>
      <c r="X243" s="60"/>
      <c r="Y243" s="31"/>
      <c r="Z243" s="61"/>
      <c r="AA243" s="60"/>
      <c r="AB243" s="31"/>
      <c r="AC243" s="61"/>
      <c r="AD243" s="60"/>
      <c r="AE243" s="31"/>
      <c r="AF243" s="61"/>
      <c r="AG243" s="60"/>
      <c r="AH243" s="31"/>
      <c r="AI243" s="61"/>
      <c r="AJ243" s="60"/>
      <c r="AK243" s="31"/>
      <c r="AL243" s="61"/>
      <c r="AM243" s="60"/>
      <c r="AN243" s="31"/>
      <c r="AO243" s="61"/>
      <c r="AP243" s="60"/>
      <c r="AQ243" s="31"/>
      <c r="AR243" s="61"/>
      <c r="AS243" s="60"/>
      <c r="AT243" s="31"/>
      <c r="AU243" s="61"/>
      <c r="AV243" s="60"/>
      <c r="AW243" s="31"/>
      <c r="AX243" s="61"/>
    </row>
    <row r="244" ht="39.75" customHeight="1">
      <c r="A244" s="62"/>
      <c r="B244" s="156"/>
      <c r="C244" s="105" t="str">
        <f>VLOOKUP(D244,[1]Saldo!A242:B31515,2,0)</f>
        <v>#ERROR!</v>
      </c>
      <c r="D244" s="68" t="s">
        <v>933</v>
      </c>
      <c r="E244" s="68" t="s">
        <v>934</v>
      </c>
      <c r="F244" s="149">
        <v>2.0</v>
      </c>
      <c r="G244" s="68">
        <v>12000.0</v>
      </c>
      <c r="H244" s="150">
        <f>'PAINEL DE CONTROLE'!$G$5</f>
        <v>28359</v>
      </c>
      <c r="I244" s="150">
        <v>24649.0</v>
      </c>
      <c r="J244" s="150">
        <f t="shared" si="3"/>
        <v>36649</v>
      </c>
      <c r="K244" s="151">
        <f t="shared" si="4"/>
        <v>8290</v>
      </c>
      <c r="L244" s="60"/>
      <c r="M244" s="31"/>
      <c r="N244" s="61"/>
      <c r="O244" s="60"/>
      <c r="P244" s="31"/>
      <c r="Q244" s="61"/>
      <c r="R244" s="60"/>
      <c r="S244" s="31"/>
      <c r="T244" s="61"/>
      <c r="U244" s="60"/>
      <c r="V244" s="31"/>
      <c r="W244" s="61"/>
      <c r="X244" s="60"/>
      <c r="Y244" s="31"/>
      <c r="Z244" s="61"/>
      <c r="AA244" s="60"/>
      <c r="AB244" s="31"/>
      <c r="AC244" s="61"/>
      <c r="AD244" s="60"/>
      <c r="AE244" s="31"/>
      <c r="AF244" s="61"/>
      <c r="AG244" s="60"/>
      <c r="AH244" s="31"/>
      <c r="AI244" s="61"/>
      <c r="AJ244" s="60"/>
      <c r="AK244" s="31"/>
      <c r="AL244" s="61"/>
      <c r="AM244" s="60"/>
      <c r="AN244" s="31"/>
      <c r="AO244" s="61"/>
      <c r="AP244" s="60"/>
      <c r="AQ244" s="31"/>
      <c r="AR244" s="61"/>
      <c r="AS244" s="60"/>
      <c r="AT244" s="31"/>
      <c r="AU244" s="61"/>
      <c r="AV244" s="60"/>
      <c r="AW244" s="31"/>
      <c r="AX244" s="61"/>
    </row>
    <row r="245" ht="39.75" customHeight="1">
      <c r="A245" s="62"/>
      <c r="B245" s="156"/>
      <c r="C245" s="105" t="str">
        <f>VLOOKUP(D245,[1]Saldo!A243:B31516,2,0)</f>
        <v>#ERROR!</v>
      </c>
      <c r="D245" s="68" t="s">
        <v>935</v>
      </c>
      <c r="E245" s="68" t="s">
        <v>936</v>
      </c>
      <c r="F245" s="149">
        <v>4.0</v>
      </c>
      <c r="G245" s="68">
        <v>12000.0</v>
      </c>
      <c r="H245" s="150">
        <f>'PAINEL DE CONTROLE'!$G$5</f>
        <v>28359</v>
      </c>
      <c r="I245" s="150">
        <v>24649.0</v>
      </c>
      <c r="J245" s="150">
        <f t="shared" si="3"/>
        <v>36649</v>
      </c>
      <c r="K245" s="151">
        <f t="shared" si="4"/>
        <v>8290</v>
      </c>
      <c r="L245" s="60"/>
      <c r="M245" s="31"/>
      <c r="N245" s="61"/>
      <c r="O245" s="60"/>
      <c r="P245" s="31"/>
      <c r="Q245" s="61"/>
      <c r="R245" s="60"/>
      <c r="S245" s="31"/>
      <c r="T245" s="61"/>
      <c r="U245" s="60"/>
      <c r="V245" s="31"/>
      <c r="W245" s="61"/>
      <c r="X245" s="60"/>
      <c r="Y245" s="31"/>
      <c r="Z245" s="61"/>
      <c r="AA245" s="60"/>
      <c r="AB245" s="31"/>
      <c r="AC245" s="61"/>
      <c r="AD245" s="60"/>
      <c r="AE245" s="31"/>
      <c r="AF245" s="61"/>
      <c r="AG245" s="60"/>
      <c r="AH245" s="31"/>
      <c r="AI245" s="61"/>
      <c r="AJ245" s="60"/>
      <c r="AK245" s="31"/>
      <c r="AL245" s="61"/>
      <c r="AM245" s="60"/>
      <c r="AN245" s="31"/>
      <c r="AO245" s="61"/>
      <c r="AP245" s="60"/>
      <c r="AQ245" s="31"/>
      <c r="AR245" s="61"/>
      <c r="AS245" s="60"/>
      <c r="AT245" s="31"/>
      <c r="AU245" s="61"/>
      <c r="AV245" s="60"/>
      <c r="AW245" s="31"/>
      <c r="AX245" s="61"/>
    </row>
    <row r="246" ht="39.75" customHeight="1">
      <c r="A246" s="62"/>
      <c r="B246" s="156"/>
      <c r="C246" s="105" t="str">
        <f>VLOOKUP(D246,[1]Saldo!A244:B31517,2,0)</f>
        <v>#ERROR!</v>
      </c>
      <c r="D246" s="68" t="s">
        <v>937</v>
      </c>
      <c r="E246" s="68" t="s">
        <v>938</v>
      </c>
      <c r="F246" s="149">
        <v>4.0</v>
      </c>
      <c r="G246" s="68">
        <v>12000.0</v>
      </c>
      <c r="H246" s="150">
        <f>'PAINEL DE CONTROLE'!$G$5</f>
        <v>28359</v>
      </c>
      <c r="I246" s="150">
        <v>24649.0</v>
      </c>
      <c r="J246" s="150">
        <f t="shared" si="3"/>
        <v>36649</v>
      </c>
      <c r="K246" s="151">
        <f t="shared" si="4"/>
        <v>8290</v>
      </c>
      <c r="L246" s="60"/>
      <c r="M246" s="31"/>
      <c r="N246" s="61"/>
      <c r="O246" s="60"/>
      <c r="P246" s="31"/>
      <c r="Q246" s="61"/>
      <c r="R246" s="60"/>
      <c r="S246" s="31"/>
      <c r="T246" s="61"/>
      <c r="U246" s="60"/>
      <c r="V246" s="31"/>
      <c r="W246" s="61"/>
      <c r="X246" s="60"/>
      <c r="Y246" s="31"/>
      <c r="Z246" s="61"/>
      <c r="AA246" s="60"/>
      <c r="AB246" s="31"/>
      <c r="AC246" s="61"/>
      <c r="AD246" s="60"/>
      <c r="AE246" s="31"/>
      <c r="AF246" s="61"/>
      <c r="AG246" s="60"/>
      <c r="AH246" s="31"/>
      <c r="AI246" s="61"/>
      <c r="AJ246" s="60"/>
      <c r="AK246" s="31"/>
      <c r="AL246" s="61"/>
      <c r="AM246" s="60"/>
      <c r="AN246" s="31"/>
      <c r="AO246" s="61"/>
      <c r="AP246" s="60"/>
      <c r="AQ246" s="31"/>
      <c r="AR246" s="61"/>
      <c r="AS246" s="60"/>
      <c r="AT246" s="31"/>
      <c r="AU246" s="61"/>
      <c r="AV246" s="60"/>
      <c r="AW246" s="31"/>
      <c r="AX246" s="61"/>
    </row>
    <row r="247" ht="39.75" customHeight="1">
      <c r="A247" s="62"/>
      <c r="B247" s="156"/>
      <c r="C247" s="105" t="str">
        <f>VLOOKUP(D247,[1]Saldo!A245:B31518,2,0)</f>
        <v>#ERROR!</v>
      </c>
      <c r="D247" s="68" t="s">
        <v>939</v>
      </c>
      <c r="E247" s="68" t="s">
        <v>940</v>
      </c>
      <c r="F247" s="149">
        <v>8.0</v>
      </c>
      <c r="G247" s="68">
        <v>12000.0</v>
      </c>
      <c r="H247" s="150">
        <f>'PAINEL DE CONTROLE'!$G$5</f>
        <v>28359</v>
      </c>
      <c r="I247" s="150">
        <v>24649.0</v>
      </c>
      <c r="J247" s="150">
        <f t="shared" si="3"/>
        <v>36649</v>
      </c>
      <c r="K247" s="151">
        <f t="shared" si="4"/>
        <v>8290</v>
      </c>
      <c r="L247" s="60"/>
      <c r="M247" s="31"/>
      <c r="N247" s="61"/>
      <c r="O247" s="60"/>
      <c r="P247" s="31"/>
      <c r="Q247" s="61"/>
      <c r="R247" s="60"/>
      <c r="S247" s="31"/>
      <c r="T247" s="61"/>
      <c r="U247" s="60"/>
      <c r="V247" s="31"/>
      <c r="W247" s="61"/>
      <c r="X247" s="60"/>
      <c r="Y247" s="31"/>
      <c r="Z247" s="61"/>
      <c r="AA247" s="60"/>
      <c r="AB247" s="31"/>
      <c r="AC247" s="61"/>
      <c r="AD247" s="60"/>
      <c r="AE247" s="31"/>
      <c r="AF247" s="61"/>
      <c r="AG247" s="60"/>
      <c r="AH247" s="31"/>
      <c r="AI247" s="61"/>
      <c r="AJ247" s="60"/>
      <c r="AK247" s="31"/>
      <c r="AL247" s="61"/>
      <c r="AM247" s="60"/>
      <c r="AN247" s="31"/>
      <c r="AO247" s="61"/>
      <c r="AP247" s="60"/>
      <c r="AQ247" s="31"/>
      <c r="AR247" s="61"/>
      <c r="AS247" s="60"/>
      <c r="AT247" s="31"/>
      <c r="AU247" s="61"/>
      <c r="AV247" s="60"/>
      <c r="AW247" s="31"/>
      <c r="AX247" s="61"/>
    </row>
    <row r="248" ht="39.75" customHeight="1">
      <c r="A248" s="62"/>
      <c r="B248" s="156"/>
      <c r="C248" s="105" t="str">
        <f>VLOOKUP(D248,[1]Saldo!A246:B31519,2,0)</f>
        <v>#ERROR!</v>
      </c>
      <c r="D248" s="68" t="s">
        <v>941</v>
      </c>
      <c r="E248" s="68" t="s">
        <v>942</v>
      </c>
      <c r="F248" s="149">
        <v>8.0</v>
      </c>
      <c r="G248" s="68">
        <v>12000.0</v>
      </c>
      <c r="H248" s="150">
        <f>'PAINEL DE CONTROLE'!$G$5</f>
        <v>28359</v>
      </c>
      <c r="I248" s="150">
        <v>24649.0</v>
      </c>
      <c r="J248" s="150">
        <f t="shared" si="3"/>
        <v>36649</v>
      </c>
      <c r="K248" s="151">
        <f t="shared" si="4"/>
        <v>8290</v>
      </c>
      <c r="L248" s="60"/>
      <c r="M248" s="31"/>
      <c r="N248" s="61"/>
      <c r="O248" s="60"/>
      <c r="P248" s="31"/>
      <c r="Q248" s="61"/>
      <c r="R248" s="60"/>
      <c r="S248" s="31"/>
      <c r="T248" s="61"/>
      <c r="U248" s="60"/>
      <c r="V248" s="31"/>
      <c r="W248" s="61"/>
      <c r="X248" s="60"/>
      <c r="Y248" s="31"/>
      <c r="Z248" s="61"/>
      <c r="AA248" s="60"/>
      <c r="AB248" s="31"/>
      <c r="AC248" s="61"/>
      <c r="AD248" s="60"/>
      <c r="AE248" s="31"/>
      <c r="AF248" s="61"/>
      <c r="AG248" s="60"/>
      <c r="AH248" s="31"/>
      <c r="AI248" s="61"/>
      <c r="AJ248" s="60"/>
      <c r="AK248" s="31"/>
      <c r="AL248" s="61"/>
      <c r="AM248" s="60"/>
      <c r="AN248" s="31"/>
      <c r="AO248" s="61"/>
      <c r="AP248" s="60"/>
      <c r="AQ248" s="31"/>
      <c r="AR248" s="61"/>
      <c r="AS248" s="60"/>
      <c r="AT248" s="31"/>
      <c r="AU248" s="61"/>
      <c r="AV248" s="60"/>
      <c r="AW248" s="31"/>
      <c r="AX248" s="61"/>
    </row>
    <row r="249" ht="39.75" customHeight="1">
      <c r="A249" s="62"/>
      <c r="B249" s="156"/>
      <c r="C249" s="105" t="str">
        <f>VLOOKUP(D249,[1]Saldo!A247:B31520,2,0)</f>
        <v>#ERROR!</v>
      </c>
      <c r="D249" s="68" t="s">
        <v>943</v>
      </c>
      <c r="E249" s="68" t="s">
        <v>944</v>
      </c>
      <c r="F249" s="149">
        <v>3.0</v>
      </c>
      <c r="G249" s="68">
        <v>12000.0</v>
      </c>
      <c r="H249" s="150">
        <f>'PAINEL DE CONTROLE'!$G$5</f>
        <v>28359</v>
      </c>
      <c r="I249" s="150">
        <v>24649.0</v>
      </c>
      <c r="J249" s="150">
        <f t="shared" si="3"/>
        <v>36649</v>
      </c>
      <c r="K249" s="151">
        <f t="shared" si="4"/>
        <v>8290</v>
      </c>
      <c r="L249" s="60"/>
      <c r="M249" s="31"/>
      <c r="N249" s="61"/>
      <c r="O249" s="60"/>
      <c r="P249" s="31"/>
      <c r="Q249" s="61"/>
      <c r="R249" s="60"/>
      <c r="S249" s="31"/>
      <c r="T249" s="61"/>
      <c r="U249" s="60"/>
      <c r="V249" s="31"/>
      <c r="W249" s="61"/>
      <c r="X249" s="60"/>
      <c r="Y249" s="31"/>
      <c r="Z249" s="61"/>
      <c r="AA249" s="60"/>
      <c r="AB249" s="31"/>
      <c r="AC249" s="61"/>
      <c r="AD249" s="60"/>
      <c r="AE249" s="31"/>
      <c r="AF249" s="61"/>
      <c r="AG249" s="60"/>
      <c r="AH249" s="31"/>
      <c r="AI249" s="61"/>
      <c r="AJ249" s="60"/>
      <c r="AK249" s="31"/>
      <c r="AL249" s="61"/>
      <c r="AM249" s="60"/>
      <c r="AN249" s="31"/>
      <c r="AO249" s="61"/>
      <c r="AP249" s="60"/>
      <c r="AQ249" s="31"/>
      <c r="AR249" s="61"/>
      <c r="AS249" s="60"/>
      <c r="AT249" s="31"/>
      <c r="AU249" s="61"/>
      <c r="AV249" s="60"/>
      <c r="AW249" s="31"/>
      <c r="AX249" s="61"/>
    </row>
    <row r="250" ht="39.75" customHeight="1">
      <c r="A250" s="62"/>
      <c r="B250" s="156"/>
      <c r="C250" s="105" t="str">
        <f>VLOOKUP(D250,[1]Saldo!A248:B31521,2,0)</f>
        <v>#ERROR!</v>
      </c>
      <c r="D250" s="68" t="s">
        <v>945</v>
      </c>
      <c r="E250" s="68" t="s">
        <v>946</v>
      </c>
      <c r="F250" s="149">
        <v>4.0</v>
      </c>
      <c r="G250" s="68">
        <v>12000.0</v>
      </c>
      <c r="H250" s="150">
        <f>'PAINEL DE CONTROLE'!$G$5</f>
        <v>28359</v>
      </c>
      <c r="I250" s="150">
        <v>24649.0</v>
      </c>
      <c r="J250" s="150">
        <f t="shared" si="3"/>
        <v>36649</v>
      </c>
      <c r="K250" s="151">
        <f t="shared" si="4"/>
        <v>8290</v>
      </c>
      <c r="L250" s="60"/>
      <c r="M250" s="31"/>
      <c r="N250" s="61"/>
      <c r="O250" s="60"/>
      <c r="P250" s="31"/>
      <c r="Q250" s="61"/>
      <c r="R250" s="60"/>
      <c r="S250" s="31"/>
      <c r="T250" s="61"/>
      <c r="U250" s="60"/>
      <c r="V250" s="31"/>
      <c r="W250" s="61"/>
      <c r="X250" s="60"/>
      <c r="Y250" s="31"/>
      <c r="Z250" s="61"/>
      <c r="AA250" s="60"/>
      <c r="AB250" s="31"/>
      <c r="AC250" s="61"/>
      <c r="AD250" s="60"/>
      <c r="AE250" s="31"/>
      <c r="AF250" s="61"/>
      <c r="AG250" s="60"/>
      <c r="AH250" s="31"/>
      <c r="AI250" s="61"/>
      <c r="AJ250" s="60"/>
      <c r="AK250" s="31"/>
      <c r="AL250" s="61"/>
      <c r="AM250" s="60"/>
      <c r="AN250" s="31"/>
      <c r="AO250" s="61"/>
      <c r="AP250" s="60"/>
      <c r="AQ250" s="31"/>
      <c r="AR250" s="61"/>
      <c r="AS250" s="60"/>
      <c r="AT250" s="31"/>
      <c r="AU250" s="61"/>
      <c r="AV250" s="60"/>
      <c r="AW250" s="31"/>
      <c r="AX250" s="61"/>
    </row>
    <row r="251" ht="39.75" customHeight="1">
      <c r="A251" s="62"/>
      <c r="B251" s="156"/>
      <c r="C251" s="105" t="str">
        <f>VLOOKUP(D251,[1]Saldo!A249:B31522,2,0)</f>
        <v>#ERROR!</v>
      </c>
      <c r="D251" s="68" t="s">
        <v>947</v>
      </c>
      <c r="E251" s="68" t="s">
        <v>624</v>
      </c>
      <c r="F251" s="149">
        <v>2.0</v>
      </c>
      <c r="G251" s="68">
        <v>12000.0</v>
      </c>
      <c r="H251" s="150">
        <f>'PAINEL DE CONTROLE'!$G$5</f>
        <v>28359</v>
      </c>
      <c r="I251" s="150">
        <v>24649.0</v>
      </c>
      <c r="J251" s="150">
        <f t="shared" si="3"/>
        <v>36649</v>
      </c>
      <c r="K251" s="151">
        <f t="shared" si="4"/>
        <v>8290</v>
      </c>
      <c r="L251" s="60"/>
      <c r="M251" s="31"/>
      <c r="N251" s="61"/>
      <c r="O251" s="60"/>
      <c r="P251" s="31"/>
      <c r="Q251" s="61"/>
      <c r="R251" s="60"/>
      <c r="S251" s="31"/>
      <c r="T251" s="61"/>
      <c r="U251" s="60"/>
      <c r="V251" s="31"/>
      <c r="W251" s="61"/>
      <c r="X251" s="60"/>
      <c r="Y251" s="31"/>
      <c r="Z251" s="61"/>
      <c r="AA251" s="60"/>
      <c r="AB251" s="31"/>
      <c r="AC251" s="61"/>
      <c r="AD251" s="60"/>
      <c r="AE251" s="31"/>
      <c r="AF251" s="61"/>
      <c r="AG251" s="60"/>
      <c r="AH251" s="31"/>
      <c r="AI251" s="61"/>
      <c r="AJ251" s="60"/>
      <c r="AK251" s="31"/>
      <c r="AL251" s="61"/>
      <c r="AM251" s="60"/>
      <c r="AN251" s="31"/>
      <c r="AO251" s="61"/>
      <c r="AP251" s="60"/>
      <c r="AQ251" s="31"/>
      <c r="AR251" s="61"/>
      <c r="AS251" s="60"/>
      <c r="AT251" s="31"/>
      <c r="AU251" s="61"/>
      <c r="AV251" s="60"/>
      <c r="AW251" s="31"/>
      <c r="AX251" s="61"/>
    </row>
    <row r="252" ht="39.75" customHeight="1">
      <c r="A252" s="62"/>
      <c r="B252" s="156"/>
      <c r="C252" s="105" t="str">
        <f>VLOOKUP(D252,[1]Saldo!A250:B31523,2,0)</f>
        <v>#ERROR!</v>
      </c>
      <c r="D252" s="68" t="s">
        <v>948</v>
      </c>
      <c r="E252" s="68" t="s">
        <v>742</v>
      </c>
      <c r="F252" s="149">
        <v>1.0</v>
      </c>
      <c r="G252" s="68">
        <v>12000.0</v>
      </c>
      <c r="H252" s="150">
        <f>'PAINEL DE CONTROLE'!$G$5</f>
        <v>28359</v>
      </c>
      <c r="I252" s="150">
        <v>24649.0</v>
      </c>
      <c r="J252" s="150">
        <f t="shared" si="3"/>
        <v>36649</v>
      </c>
      <c r="K252" s="151">
        <f t="shared" si="4"/>
        <v>8290</v>
      </c>
      <c r="L252" s="60"/>
      <c r="M252" s="31"/>
      <c r="N252" s="61"/>
      <c r="O252" s="60"/>
      <c r="P252" s="31"/>
      <c r="Q252" s="61"/>
      <c r="R252" s="60"/>
      <c r="S252" s="31"/>
      <c r="T252" s="61"/>
      <c r="U252" s="60"/>
      <c r="V252" s="31"/>
      <c r="W252" s="61"/>
      <c r="X252" s="60"/>
      <c r="Y252" s="31"/>
      <c r="Z252" s="61"/>
      <c r="AA252" s="60"/>
      <c r="AB252" s="31"/>
      <c r="AC252" s="61"/>
      <c r="AD252" s="60"/>
      <c r="AE252" s="31"/>
      <c r="AF252" s="61"/>
      <c r="AG252" s="60"/>
      <c r="AH252" s="31"/>
      <c r="AI252" s="61"/>
      <c r="AJ252" s="60"/>
      <c r="AK252" s="31"/>
      <c r="AL252" s="61"/>
      <c r="AM252" s="60"/>
      <c r="AN252" s="31"/>
      <c r="AO252" s="61"/>
      <c r="AP252" s="60"/>
      <c r="AQ252" s="31"/>
      <c r="AR252" s="61"/>
      <c r="AS252" s="60"/>
      <c r="AT252" s="31"/>
      <c r="AU252" s="61"/>
      <c r="AV252" s="60"/>
      <c r="AW252" s="31"/>
      <c r="AX252" s="61"/>
    </row>
    <row r="253" ht="39.75" customHeight="1">
      <c r="A253" s="63"/>
      <c r="B253" s="156"/>
      <c r="C253" s="105" t="str">
        <f>VLOOKUP(D253,[1]Saldo!A251:B31524,2,0)</f>
        <v>#ERROR!</v>
      </c>
      <c r="D253" s="68" t="s">
        <v>949</v>
      </c>
      <c r="E253" s="68" t="s">
        <v>742</v>
      </c>
      <c r="F253" s="149">
        <v>1.0</v>
      </c>
      <c r="G253" s="68">
        <v>12000.0</v>
      </c>
      <c r="H253" s="150">
        <f>'PAINEL DE CONTROLE'!$G$5</f>
        <v>28359</v>
      </c>
      <c r="I253" s="150">
        <v>24649.0</v>
      </c>
      <c r="J253" s="150">
        <f t="shared" si="3"/>
        <v>36649</v>
      </c>
      <c r="K253" s="151">
        <f t="shared" si="4"/>
        <v>8290</v>
      </c>
      <c r="L253" s="60"/>
      <c r="M253" s="31"/>
      <c r="N253" s="61"/>
      <c r="O253" s="60"/>
      <c r="P253" s="31"/>
      <c r="Q253" s="61"/>
      <c r="R253" s="60"/>
      <c r="S253" s="31"/>
      <c r="T253" s="61"/>
      <c r="U253" s="60"/>
      <c r="V253" s="31"/>
      <c r="W253" s="61"/>
      <c r="X253" s="60"/>
      <c r="Y253" s="31"/>
      <c r="Z253" s="61"/>
      <c r="AA253" s="60"/>
      <c r="AB253" s="31"/>
      <c r="AC253" s="61"/>
      <c r="AD253" s="60"/>
      <c r="AE253" s="31"/>
      <c r="AF253" s="61"/>
      <c r="AG253" s="60"/>
      <c r="AH253" s="31"/>
      <c r="AI253" s="61"/>
      <c r="AJ253" s="60"/>
      <c r="AK253" s="31"/>
      <c r="AL253" s="61"/>
      <c r="AM253" s="60"/>
      <c r="AN253" s="31"/>
      <c r="AO253" s="61"/>
      <c r="AP253" s="60"/>
      <c r="AQ253" s="31"/>
      <c r="AR253" s="61"/>
      <c r="AS253" s="60"/>
      <c r="AT253" s="31"/>
      <c r="AU253" s="61"/>
      <c r="AV253" s="60"/>
      <c r="AW253" s="31"/>
      <c r="AX253" s="61"/>
    </row>
    <row r="254" ht="39.75" customHeight="1">
      <c r="A254" s="68" t="s">
        <v>65</v>
      </c>
      <c r="B254" s="68"/>
      <c r="C254" s="105" t="str">
        <f>VLOOKUP(D254,[1]Saldo!A252:B31525,2,0)</f>
        <v>#ERROR!</v>
      </c>
      <c r="D254" s="68" t="s">
        <v>950</v>
      </c>
      <c r="E254" s="68" t="s">
        <v>951</v>
      </c>
      <c r="F254" s="149">
        <v>2.0</v>
      </c>
      <c r="G254" s="68">
        <v>5000.0</v>
      </c>
      <c r="H254" s="150">
        <f>'PAINEL DE CONTROLE'!$G$5</f>
        <v>28359</v>
      </c>
      <c r="I254" s="150">
        <v>24649.0</v>
      </c>
      <c r="J254" s="150">
        <f t="shared" si="3"/>
        <v>29649</v>
      </c>
      <c r="K254" s="151">
        <f t="shared" si="4"/>
        <v>1290</v>
      </c>
      <c r="L254" s="60"/>
      <c r="M254" s="31"/>
      <c r="N254" s="61"/>
      <c r="O254" s="60"/>
      <c r="P254" s="31"/>
      <c r="Q254" s="61"/>
      <c r="R254" s="60"/>
      <c r="S254" s="31"/>
      <c r="T254" s="61"/>
      <c r="U254" s="60"/>
      <c r="V254" s="31"/>
      <c r="W254" s="61"/>
      <c r="X254" s="60"/>
      <c r="Y254" s="31"/>
      <c r="Z254" s="61"/>
      <c r="AA254" s="60"/>
      <c r="AB254" s="31"/>
      <c r="AC254" s="61"/>
      <c r="AD254" s="60"/>
      <c r="AE254" s="31"/>
      <c r="AF254" s="61"/>
      <c r="AG254" s="60"/>
      <c r="AH254" s="31"/>
      <c r="AI254" s="61"/>
      <c r="AJ254" s="60"/>
      <c r="AK254" s="31"/>
      <c r="AL254" s="61"/>
      <c r="AM254" s="60"/>
      <c r="AN254" s="31"/>
      <c r="AO254" s="61"/>
      <c r="AP254" s="60"/>
      <c r="AQ254" s="31"/>
      <c r="AR254" s="61"/>
      <c r="AS254" s="60"/>
      <c r="AT254" s="31"/>
      <c r="AU254" s="61"/>
      <c r="AV254" s="60"/>
      <c r="AW254" s="31"/>
      <c r="AX254" s="61"/>
    </row>
    <row r="255" ht="39.75" customHeight="1">
      <c r="A255" s="147" t="s">
        <v>66</v>
      </c>
      <c r="B255" s="156"/>
      <c r="C255" s="105" t="str">
        <f>VLOOKUP(D255,[1]Saldo!A253:B31526,2,0)</f>
        <v>#ERROR!</v>
      </c>
      <c r="D255" s="68" t="s">
        <v>952</v>
      </c>
      <c r="E255" s="68" t="s">
        <v>953</v>
      </c>
      <c r="F255" s="149">
        <v>8.0</v>
      </c>
      <c r="G255" s="68">
        <v>12000.0</v>
      </c>
      <c r="H255" s="150">
        <f>'PAINEL DE CONTROLE'!$G$5</f>
        <v>28359</v>
      </c>
      <c r="I255" s="150">
        <v>24649.0</v>
      </c>
      <c r="J255" s="150">
        <f t="shared" si="3"/>
        <v>36649</v>
      </c>
      <c r="K255" s="151">
        <f t="shared" si="4"/>
        <v>8290</v>
      </c>
      <c r="L255" s="60"/>
      <c r="M255" s="31"/>
      <c r="N255" s="61"/>
      <c r="O255" s="60"/>
      <c r="P255" s="31"/>
      <c r="Q255" s="61"/>
      <c r="R255" s="60"/>
      <c r="S255" s="31"/>
      <c r="T255" s="61"/>
      <c r="U255" s="60"/>
      <c r="V255" s="31"/>
      <c r="W255" s="61"/>
      <c r="X255" s="60"/>
      <c r="Y255" s="31"/>
      <c r="Z255" s="61"/>
      <c r="AA255" s="60"/>
      <c r="AB255" s="31"/>
      <c r="AC255" s="61"/>
      <c r="AD255" s="60"/>
      <c r="AE255" s="31"/>
      <c r="AF255" s="61"/>
      <c r="AG255" s="60"/>
      <c r="AH255" s="31"/>
      <c r="AI255" s="61"/>
      <c r="AJ255" s="60"/>
      <c r="AK255" s="31"/>
      <c r="AL255" s="61"/>
      <c r="AM255" s="60"/>
      <c r="AN255" s="31"/>
      <c r="AO255" s="61"/>
      <c r="AP255" s="60"/>
      <c r="AQ255" s="31"/>
      <c r="AR255" s="61"/>
      <c r="AS255" s="60"/>
      <c r="AT255" s="31"/>
      <c r="AU255" s="61"/>
      <c r="AV255" s="60"/>
      <c r="AW255" s="31"/>
      <c r="AX255" s="61"/>
    </row>
    <row r="256" ht="39.75" customHeight="1">
      <c r="A256" s="62"/>
      <c r="B256" s="156"/>
      <c r="C256" s="105" t="str">
        <f>VLOOKUP(D256,[1]Saldo!A254:B31527,2,0)</f>
        <v>#ERROR!</v>
      </c>
      <c r="D256" s="68" t="s">
        <v>954</v>
      </c>
      <c r="E256" s="68" t="s">
        <v>955</v>
      </c>
      <c r="F256" s="149">
        <v>2.0</v>
      </c>
      <c r="G256" s="68">
        <v>12000.0</v>
      </c>
      <c r="H256" s="150">
        <f>'PAINEL DE CONTROLE'!$G$5</f>
        <v>28359</v>
      </c>
      <c r="I256" s="150">
        <v>24649.0</v>
      </c>
      <c r="J256" s="150">
        <f t="shared" si="3"/>
        <v>36649</v>
      </c>
      <c r="K256" s="151">
        <f t="shared" si="4"/>
        <v>8290</v>
      </c>
      <c r="L256" s="60"/>
      <c r="M256" s="31"/>
      <c r="N256" s="61"/>
      <c r="O256" s="60"/>
      <c r="P256" s="31"/>
      <c r="Q256" s="61"/>
      <c r="R256" s="60"/>
      <c r="S256" s="31"/>
      <c r="T256" s="61"/>
      <c r="U256" s="60"/>
      <c r="V256" s="31"/>
      <c r="W256" s="61"/>
      <c r="X256" s="60"/>
      <c r="Y256" s="31"/>
      <c r="Z256" s="61"/>
      <c r="AA256" s="60"/>
      <c r="AB256" s="31"/>
      <c r="AC256" s="61"/>
      <c r="AD256" s="60"/>
      <c r="AE256" s="31"/>
      <c r="AF256" s="61"/>
      <c r="AG256" s="60"/>
      <c r="AH256" s="31"/>
      <c r="AI256" s="61"/>
      <c r="AJ256" s="60"/>
      <c r="AK256" s="31"/>
      <c r="AL256" s="61"/>
      <c r="AM256" s="60"/>
      <c r="AN256" s="31"/>
      <c r="AO256" s="61"/>
      <c r="AP256" s="60"/>
      <c r="AQ256" s="31"/>
      <c r="AR256" s="61"/>
      <c r="AS256" s="60"/>
      <c r="AT256" s="31"/>
      <c r="AU256" s="61"/>
      <c r="AV256" s="60"/>
      <c r="AW256" s="31"/>
      <c r="AX256" s="61"/>
    </row>
    <row r="257" ht="39.75" customHeight="1">
      <c r="A257" s="62"/>
      <c r="B257" s="156"/>
      <c r="C257" s="105" t="str">
        <f>VLOOKUP(D257,[1]Saldo!A255:B31528,2,0)</f>
        <v>#ERROR!</v>
      </c>
      <c r="D257" s="68" t="s">
        <v>956</v>
      </c>
      <c r="E257" s="68" t="s">
        <v>957</v>
      </c>
      <c r="F257" s="149">
        <v>4.0</v>
      </c>
      <c r="G257" s="68">
        <v>12000.0</v>
      </c>
      <c r="H257" s="150">
        <f>'PAINEL DE CONTROLE'!$G$5</f>
        <v>28359</v>
      </c>
      <c r="I257" s="150">
        <v>24649.0</v>
      </c>
      <c r="J257" s="150">
        <f t="shared" si="3"/>
        <v>36649</v>
      </c>
      <c r="K257" s="151">
        <f t="shared" si="4"/>
        <v>8290</v>
      </c>
      <c r="L257" s="60"/>
      <c r="M257" s="31"/>
      <c r="N257" s="61"/>
      <c r="O257" s="60"/>
      <c r="P257" s="31"/>
      <c r="Q257" s="61"/>
      <c r="R257" s="60"/>
      <c r="S257" s="31"/>
      <c r="T257" s="61"/>
      <c r="U257" s="60"/>
      <c r="V257" s="31"/>
      <c r="W257" s="61"/>
      <c r="X257" s="60"/>
      <c r="Y257" s="31"/>
      <c r="Z257" s="61"/>
      <c r="AA257" s="60"/>
      <c r="AB257" s="31"/>
      <c r="AC257" s="61"/>
      <c r="AD257" s="60"/>
      <c r="AE257" s="31"/>
      <c r="AF257" s="61"/>
      <c r="AG257" s="60"/>
      <c r="AH257" s="31"/>
      <c r="AI257" s="61"/>
      <c r="AJ257" s="60"/>
      <c r="AK257" s="31"/>
      <c r="AL257" s="61"/>
      <c r="AM257" s="60"/>
      <c r="AN257" s="31"/>
      <c r="AO257" s="61"/>
      <c r="AP257" s="60"/>
      <c r="AQ257" s="31"/>
      <c r="AR257" s="61"/>
      <c r="AS257" s="60"/>
      <c r="AT257" s="31"/>
      <c r="AU257" s="61"/>
      <c r="AV257" s="60"/>
      <c r="AW257" s="31"/>
      <c r="AX257" s="61"/>
    </row>
    <row r="258" ht="39.75" customHeight="1">
      <c r="A258" s="62"/>
      <c r="B258" s="156"/>
      <c r="C258" s="105" t="str">
        <f>VLOOKUP(D258,[1]Saldo!A256:B31529,2,0)</f>
        <v>#ERROR!</v>
      </c>
      <c r="D258" s="68" t="s">
        <v>958</v>
      </c>
      <c r="E258" s="68" t="s">
        <v>959</v>
      </c>
      <c r="F258" s="149">
        <v>8.0</v>
      </c>
      <c r="G258" s="68">
        <v>12000.0</v>
      </c>
      <c r="H258" s="150">
        <f>'PAINEL DE CONTROLE'!$G$5</f>
        <v>28359</v>
      </c>
      <c r="I258" s="150">
        <v>24649.0</v>
      </c>
      <c r="J258" s="150">
        <f t="shared" si="3"/>
        <v>36649</v>
      </c>
      <c r="K258" s="151">
        <f t="shared" si="4"/>
        <v>8290</v>
      </c>
      <c r="L258" s="60"/>
      <c r="M258" s="31"/>
      <c r="N258" s="61"/>
      <c r="O258" s="60"/>
      <c r="P258" s="31"/>
      <c r="Q258" s="61"/>
      <c r="R258" s="60"/>
      <c r="S258" s="31"/>
      <c r="T258" s="61"/>
      <c r="U258" s="60"/>
      <c r="V258" s="31"/>
      <c r="W258" s="61"/>
      <c r="X258" s="60"/>
      <c r="Y258" s="31"/>
      <c r="Z258" s="61"/>
      <c r="AA258" s="60"/>
      <c r="AB258" s="31"/>
      <c r="AC258" s="61"/>
      <c r="AD258" s="60"/>
      <c r="AE258" s="31"/>
      <c r="AF258" s="61"/>
      <c r="AG258" s="60"/>
      <c r="AH258" s="31"/>
      <c r="AI258" s="61"/>
      <c r="AJ258" s="60"/>
      <c r="AK258" s="31"/>
      <c r="AL258" s="61"/>
      <c r="AM258" s="60"/>
      <c r="AN258" s="31"/>
      <c r="AO258" s="61"/>
      <c r="AP258" s="60"/>
      <c r="AQ258" s="31"/>
      <c r="AR258" s="61"/>
      <c r="AS258" s="60"/>
      <c r="AT258" s="31"/>
      <c r="AU258" s="61"/>
      <c r="AV258" s="60"/>
      <c r="AW258" s="31"/>
      <c r="AX258" s="61"/>
    </row>
    <row r="259" ht="39.75" customHeight="1">
      <c r="A259" s="63"/>
      <c r="B259" s="156"/>
      <c r="C259" s="105" t="str">
        <f>VLOOKUP(D259,[1]Saldo!A257:B31530,2,0)</f>
        <v>#ERROR!</v>
      </c>
      <c r="D259" s="68" t="s">
        <v>960</v>
      </c>
      <c r="E259" s="68" t="s">
        <v>961</v>
      </c>
      <c r="F259" s="149">
        <v>2.0</v>
      </c>
      <c r="G259" s="68">
        <v>12000.0</v>
      </c>
      <c r="H259" s="150">
        <f>'PAINEL DE CONTROLE'!$G$5</f>
        <v>28359</v>
      </c>
      <c r="I259" s="150">
        <v>24649.0</v>
      </c>
      <c r="J259" s="150">
        <f t="shared" si="3"/>
        <v>36649</v>
      </c>
      <c r="K259" s="151">
        <f t="shared" si="4"/>
        <v>8290</v>
      </c>
      <c r="L259" s="60"/>
      <c r="M259" s="31"/>
      <c r="N259" s="61"/>
      <c r="O259" s="60"/>
      <c r="P259" s="31"/>
      <c r="Q259" s="61"/>
      <c r="R259" s="60"/>
      <c r="S259" s="31"/>
      <c r="T259" s="61"/>
      <c r="U259" s="60"/>
      <c r="V259" s="31"/>
      <c r="W259" s="61"/>
      <c r="X259" s="60"/>
      <c r="Y259" s="31"/>
      <c r="Z259" s="61"/>
      <c r="AA259" s="60"/>
      <c r="AB259" s="31"/>
      <c r="AC259" s="61"/>
      <c r="AD259" s="60"/>
      <c r="AE259" s="31"/>
      <c r="AF259" s="61"/>
      <c r="AG259" s="60"/>
      <c r="AH259" s="31"/>
      <c r="AI259" s="61"/>
      <c r="AJ259" s="60"/>
      <c r="AK259" s="31"/>
      <c r="AL259" s="61"/>
      <c r="AM259" s="60"/>
      <c r="AN259" s="31"/>
      <c r="AO259" s="61"/>
      <c r="AP259" s="60"/>
      <c r="AQ259" s="31"/>
      <c r="AR259" s="61"/>
      <c r="AS259" s="60"/>
      <c r="AT259" s="31"/>
      <c r="AU259" s="61"/>
      <c r="AV259" s="60"/>
      <c r="AW259" s="31"/>
      <c r="AX259" s="61"/>
    </row>
    <row r="260" ht="39.75" customHeight="1">
      <c r="A260" s="147" t="s">
        <v>66</v>
      </c>
      <c r="B260" s="156"/>
      <c r="C260" s="105" t="str">
        <f>VLOOKUP(D260,[1]Saldo!A258:B31531,2,0)</f>
        <v>#ERROR!</v>
      </c>
      <c r="D260" s="68" t="s">
        <v>962</v>
      </c>
      <c r="E260" s="68" t="s">
        <v>750</v>
      </c>
      <c r="F260" s="149">
        <v>2.0</v>
      </c>
      <c r="G260" s="68">
        <v>12000.0</v>
      </c>
      <c r="H260" s="150">
        <f>'PAINEL DE CONTROLE'!$G$5</f>
        <v>28359</v>
      </c>
      <c r="I260" s="150">
        <v>24649.0</v>
      </c>
      <c r="J260" s="150">
        <f t="shared" si="3"/>
        <v>36649</v>
      </c>
      <c r="K260" s="151">
        <f t="shared" si="4"/>
        <v>8290</v>
      </c>
      <c r="L260" s="60"/>
      <c r="M260" s="31"/>
      <c r="N260" s="61"/>
      <c r="O260" s="60"/>
      <c r="P260" s="31"/>
      <c r="Q260" s="61"/>
      <c r="R260" s="60"/>
      <c r="S260" s="31"/>
      <c r="T260" s="61"/>
      <c r="U260" s="60"/>
      <c r="V260" s="31"/>
      <c r="W260" s="61"/>
      <c r="X260" s="60"/>
      <c r="Y260" s="31"/>
      <c r="Z260" s="61"/>
      <c r="AA260" s="60"/>
      <c r="AB260" s="31"/>
      <c r="AC260" s="61"/>
      <c r="AD260" s="60"/>
      <c r="AE260" s="31"/>
      <c r="AF260" s="61"/>
      <c r="AG260" s="60"/>
      <c r="AH260" s="31"/>
      <c r="AI260" s="61"/>
      <c r="AJ260" s="60"/>
      <c r="AK260" s="31"/>
      <c r="AL260" s="61"/>
      <c r="AM260" s="60"/>
      <c r="AN260" s="31"/>
      <c r="AO260" s="61"/>
      <c r="AP260" s="60"/>
      <c r="AQ260" s="31"/>
      <c r="AR260" s="61"/>
      <c r="AS260" s="60"/>
      <c r="AT260" s="31"/>
      <c r="AU260" s="61"/>
      <c r="AV260" s="60"/>
      <c r="AW260" s="31"/>
      <c r="AX260" s="61"/>
    </row>
    <row r="261" ht="39.75" customHeight="1">
      <c r="A261" s="62"/>
      <c r="B261" s="156"/>
      <c r="C261" s="105" t="str">
        <f>VLOOKUP(D261,[1]Saldo!A259:B31532,2,0)</f>
        <v>#ERROR!</v>
      </c>
      <c r="D261" s="68" t="s">
        <v>963</v>
      </c>
      <c r="E261" s="68" t="s">
        <v>752</v>
      </c>
      <c r="F261" s="149">
        <v>2.0</v>
      </c>
      <c r="G261" s="68">
        <v>12000.0</v>
      </c>
      <c r="H261" s="150">
        <f>'PAINEL DE CONTROLE'!$G$5</f>
        <v>28359</v>
      </c>
      <c r="I261" s="150">
        <v>24649.0</v>
      </c>
      <c r="J261" s="150">
        <f t="shared" si="3"/>
        <v>36649</v>
      </c>
      <c r="K261" s="151">
        <f t="shared" si="4"/>
        <v>8290</v>
      </c>
      <c r="L261" s="60"/>
      <c r="M261" s="31"/>
      <c r="N261" s="61"/>
      <c r="O261" s="60"/>
      <c r="P261" s="31"/>
      <c r="Q261" s="61"/>
      <c r="R261" s="60"/>
      <c r="S261" s="31"/>
      <c r="T261" s="61"/>
      <c r="U261" s="60"/>
      <c r="V261" s="31"/>
      <c r="W261" s="61"/>
      <c r="X261" s="60"/>
      <c r="Y261" s="31"/>
      <c r="Z261" s="61"/>
      <c r="AA261" s="60"/>
      <c r="AB261" s="31"/>
      <c r="AC261" s="61"/>
      <c r="AD261" s="60"/>
      <c r="AE261" s="31"/>
      <c r="AF261" s="61"/>
      <c r="AG261" s="60"/>
      <c r="AH261" s="31"/>
      <c r="AI261" s="61"/>
      <c r="AJ261" s="60"/>
      <c r="AK261" s="31"/>
      <c r="AL261" s="61"/>
      <c r="AM261" s="60"/>
      <c r="AN261" s="31"/>
      <c r="AO261" s="61"/>
      <c r="AP261" s="60"/>
      <c r="AQ261" s="31"/>
      <c r="AR261" s="61"/>
      <c r="AS261" s="60"/>
      <c r="AT261" s="31"/>
      <c r="AU261" s="61"/>
      <c r="AV261" s="60"/>
      <c r="AW261" s="31"/>
      <c r="AX261" s="61"/>
    </row>
    <row r="262" ht="39.75" customHeight="1">
      <c r="A262" s="62"/>
      <c r="B262" s="156"/>
      <c r="C262" s="105" t="str">
        <f>VLOOKUP(D262,[1]Saldo!A260:B31533,2,0)</f>
        <v>#ERROR!</v>
      </c>
      <c r="D262" s="68" t="s">
        <v>964</v>
      </c>
      <c r="E262" s="68" t="s">
        <v>787</v>
      </c>
      <c r="F262" s="149">
        <v>2.0</v>
      </c>
      <c r="G262" s="68">
        <v>12000.0</v>
      </c>
      <c r="H262" s="150">
        <f>'PAINEL DE CONTROLE'!$G$5</f>
        <v>28359</v>
      </c>
      <c r="I262" s="150">
        <v>24649.0</v>
      </c>
      <c r="J262" s="150">
        <f t="shared" si="3"/>
        <v>36649</v>
      </c>
      <c r="K262" s="151">
        <f t="shared" si="4"/>
        <v>8290</v>
      </c>
      <c r="L262" s="60"/>
      <c r="M262" s="31"/>
      <c r="N262" s="61"/>
      <c r="O262" s="60"/>
      <c r="P262" s="31"/>
      <c r="Q262" s="61"/>
      <c r="R262" s="60"/>
      <c r="S262" s="31"/>
      <c r="T262" s="61"/>
      <c r="U262" s="60"/>
      <c r="V262" s="31"/>
      <c r="W262" s="61"/>
      <c r="X262" s="60"/>
      <c r="Y262" s="31"/>
      <c r="Z262" s="61"/>
      <c r="AA262" s="60"/>
      <c r="AB262" s="31"/>
      <c r="AC262" s="61"/>
      <c r="AD262" s="60"/>
      <c r="AE262" s="31"/>
      <c r="AF262" s="61"/>
      <c r="AG262" s="60"/>
      <c r="AH262" s="31"/>
      <c r="AI262" s="61"/>
      <c r="AJ262" s="60"/>
      <c r="AK262" s="31"/>
      <c r="AL262" s="61"/>
      <c r="AM262" s="60"/>
      <c r="AN262" s="31"/>
      <c r="AO262" s="61"/>
      <c r="AP262" s="60"/>
      <c r="AQ262" s="31"/>
      <c r="AR262" s="61"/>
      <c r="AS262" s="60"/>
      <c r="AT262" s="31"/>
      <c r="AU262" s="61"/>
      <c r="AV262" s="60"/>
      <c r="AW262" s="31"/>
      <c r="AX262" s="61"/>
    </row>
    <row r="263" ht="39.75" customHeight="1">
      <c r="A263" s="62"/>
      <c r="B263" s="156"/>
      <c r="C263" s="105" t="str">
        <f>VLOOKUP(D263,[1]Saldo!A261:B31534,2,0)</f>
        <v>#ERROR!</v>
      </c>
      <c r="D263" s="68" t="s">
        <v>965</v>
      </c>
      <c r="E263" s="68" t="s">
        <v>686</v>
      </c>
      <c r="F263" s="149">
        <v>2.0</v>
      </c>
      <c r="G263" s="68">
        <v>12000.0</v>
      </c>
      <c r="H263" s="150">
        <f>'PAINEL DE CONTROLE'!$G$5</f>
        <v>28359</v>
      </c>
      <c r="I263" s="150">
        <v>24649.0</v>
      </c>
      <c r="J263" s="150">
        <f t="shared" si="3"/>
        <v>36649</v>
      </c>
      <c r="K263" s="151">
        <f t="shared" si="4"/>
        <v>8290</v>
      </c>
      <c r="L263" s="60"/>
      <c r="M263" s="31"/>
      <c r="N263" s="61"/>
      <c r="O263" s="60"/>
      <c r="P263" s="31"/>
      <c r="Q263" s="61"/>
      <c r="R263" s="60"/>
      <c r="S263" s="31"/>
      <c r="T263" s="61"/>
      <c r="U263" s="60"/>
      <c r="V263" s="31"/>
      <c r="W263" s="61"/>
      <c r="X263" s="60"/>
      <c r="Y263" s="31"/>
      <c r="Z263" s="61"/>
      <c r="AA263" s="60"/>
      <c r="AB263" s="31"/>
      <c r="AC263" s="61"/>
      <c r="AD263" s="60"/>
      <c r="AE263" s="31"/>
      <c r="AF263" s="61"/>
      <c r="AG263" s="60"/>
      <c r="AH263" s="31"/>
      <c r="AI263" s="61"/>
      <c r="AJ263" s="60"/>
      <c r="AK263" s="31"/>
      <c r="AL263" s="61"/>
      <c r="AM263" s="60"/>
      <c r="AN263" s="31"/>
      <c r="AO263" s="61"/>
      <c r="AP263" s="60"/>
      <c r="AQ263" s="31"/>
      <c r="AR263" s="61"/>
      <c r="AS263" s="60"/>
      <c r="AT263" s="31"/>
      <c r="AU263" s="61"/>
      <c r="AV263" s="60"/>
      <c r="AW263" s="31"/>
      <c r="AX263" s="61"/>
    </row>
    <row r="264" ht="39.75" customHeight="1">
      <c r="A264" s="62"/>
      <c r="B264" s="156"/>
      <c r="C264" s="105" t="str">
        <f>VLOOKUP(D264,[1]Saldo!A262:B31535,2,0)</f>
        <v>#ERROR!</v>
      </c>
      <c r="D264" s="68" t="s">
        <v>966</v>
      </c>
      <c r="E264" s="68" t="s">
        <v>750</v>
      </c>
      <c r="F264" s="149">
        <v>2.0</v>
      </c>
      <c r="G264" s="68">
        <v>12000.0</v>
      </c>
      <c r="H264" s="150">
        <f>'PAINEL DE CONTROLE'!$G$5</f>
        <v>28359</v>
      </c>
      <c r="I264" s="150">
        <v>24649.0</v>
      </c>
      <c r="J264" s="150">
        <f t="shared" si="3"/>
        <v>36649</v>
      </c>
      <c r="K264" s="151">
        <f t="shared" si="4"/>
        <v>8290</v>
      </c>
      <c r="L264" s="60"/>
      <c r="M264" s="31"/>
      <c r="N264" s="61"/>
      <c r="O264" s="60"/>
      <c r="P264" s="31"/>
      <c r="Q264" s="61"/>
      <c r="R264" s="60"/>
      <c r="S264" s="31"/>
      <c r="T264" s="61"/>
      <c r="U264" s="60"/>
      <c r="V264" s="31"/>
      <c r="W264" s="61"/>
      <c r="X264" s="60"/>
      <c r="Y264" s="31"/>
      <c r="Z264" s="61"/>
      <c r="AA264" s="60"/>
      <c r="AB264" s="31"/>
      <c r="AC264" s="61"/>
      <c r="AD264" s="60"/>
      <c r="AE264" s="31"/>
      <c r="AF264" s="61"/>
      <c r="AG264" s="60"/>
      <c r="AH264" s="31"/>
      <c r="AI264" s="61"/>
      <c r="AJ264" s="60"/>
      <c r="AK264" s="31"/>
      <c r="AL264" s="61"/>
      <c r="AM264" s="60"/>
      <c r="AN264" s="31"/>
      <c r="AO264" s="61"/>
      <c r="AP264" s="60"/>
      <c r="AQ264" s="31"/>
      <c r="AR264" s="61"/>
      <c r="AS264" s="60"/>
      <c r="AT264" s="31"/>
      <c r="AU264" s="61"/>
      <c r="AV264" s="60"/>
      <c r="AW264" s="31"/>
      <c r="AX264" s="61"/>
    </row>
    <row r="265" ht="39.75" customHeight="1">
      <c r="A265" s="62"/>
      <c r="B265" s="156"/>
      <c r="C265" s="105" t="str">
        <f>VLOOKUP(D265,[1]Saldo!A263:B31536,2,0)</f>
        <v>#ERROR!</v>
      </c>
      <c r="D265" s="68" t="s">
        <v>967</v>
      </c>
      <c r="E265" s="68" t="s">
        <v>742</v>
      </c>
      <c r="F265" s="149">
        <v>4.0</v>
      </c>
      <c r="G265" s="68">
        <v>12000.0</v>
      </c>
      <c r="H265" s="150">
        <f>'PAINEL DE CONTROLE'!$G$5</f>
        <v>28359</v>
      </c>
      <c r="I265" s="150">
        <v>24649.0</v>
      </c>
      <c r="J265" s="150">
        <f t="shared" si="3"/>
        <v>36649</v>
      </c>
      <c r="K265" s="151">
        <f t="shared" si="4"/>
        <v>8290</v>
      </c>
      <c r="L265" s="60"/>
      <c r="M265" s="31"/>
      <c r="N265" s="61"/>
      <c r="O265" s="60"/>
      <c r="P265" s="31"/>
      <c r="Q265" s="61"/>
      <c r="R265" s="60"/>
      <c r="S265" s="31"/>
      <c r="T265" s="61"/>
      <c r="U265" s="60"/>
      <c r="V265" s="31"/>
      <c r="W265" s="61"/>
      <c r="X265" s="60"/>
      <c r="Y265" s="31"/>
      <c r="Z265" s="61"/>
      <c r="AA265" s="60"/>
      <c r="AB265" s="31"/>
      <c r="AC265" s="61"/>
      <c r="AD265" s="60"/>
      <c r="AE265" s="31"/>
      <c r="AF265" s="61"/>
      <c r="AG265" s="60"/>
      <c r="AH265" s="31"/>
      <c r="AI265" s="61"/>
      <c r="AJ265" s="60"/>
      <c r="AK265" s="31"/>
      <c r="AL265" s="61"/>
      <c r="AM265" s="60"/>
      <c r="AN265" s="31"/>
      <c r="AO265" s="61"/>
      <c r="AP265" s="60"/>
      <c r="AQ265" s="31"/>
      <c r="AR265" s="61"/>
      <c r="AS265" s="60"/>
      <c r="AT265" s="31"/>
      <c r="AU265" s="61"/>
      <c r="AV265" s="60"/>
      <c r="AW265" s="31"/>
      <c r="AX265" s="61"/>
    </row>
    <row r="266" ht="39.75" customHeight="1">
      <c r="A266" s="62"/>
      <c r="B266" s="156"/>
      <c r="C266" s="105" t="str">
        <f>VLOOKUP(D266,[1]Saldo!A264:B31537,2,0)</f>
        <v>#ERROR!</v>
      </c>
      <c r="D266" s="68" t="s">
        <v>968</v>
      </c>
      <c r="E266" s="68" t="s">
        <v>969</v>
      </c>
      <c r="F266" s="149">
        <v>2.0</v>
      </c>
      <c r="G266" s="68">
        <v>12000.0</v>
      </c>
      <c r="H266" s="150">
        <f>'PAINEL DE CONTROLE'!$G$5</f>
        <v>28359</v>
      </c>
      <c r="I266" s="150">
        <v>24649.0</v>
      </c>
      <c r="J266" s="150">
        <f t="shared" si="3"/>
        <v>36649</v>
      </c>
      <c r="K266" s="151">
        <f t="shared" si="4"/>
        <v>8290</v>
      </c>
      <c r="L266" s="60"/>
      <c r="M266" s="31"/>
      <c r="N266" s="61"/>
      <c r="O266" s="60"/>
      <c r="P266" s="31"/>
      <c r="Q266" s="61"/>
      <c r="R266" s="60"/>
      <c r="S266" s="31"/>
      <c r="T266" s="61"/>
      <c r="U266" s="60"/>
      <c r="V266" s="31"/>
      <c r="W266" s="61"/>
      <c r="X266" s="60"/>
      <c r="Y266" s="31"/>
      <c r="Z266" s="61"/>
      <c r="AA266" s="60"/>
      <c r="AB266" s="31"/>
      <c r="AC266" s="61"/>
      <c r="AD266" s="60"/>
      <c r="AE266" s="31"/>
      <c r="AF266" s="61"/>
      <c r="AG266" s="60"/>
      <c r="AH266" s="31"/>
      <c r="AI266" s="61"/>
      <c r="AJ266" s="60"/>
      <c r="AK266" s="31"/>
      <c r="AL266" s="61"/>
      <c r="AM266" s="60"/>
      <c r="AN266" s="31"/>
      <c r="AO266" s="61"/>
      <c r="AP266" s="60"/>
      <c r="AQ266" s="31"/>
      <c r="AR266" s="61"/>
      <c r="AS266" s="60"/>
      <c r="AT266" s="31"/>
      <c r="AU266" s="61"/>
      <c r="AV266" s="60"/>
      <c r="AW266" s="31"/>
      <c r="AX266" s="61"/>
    </row>
    <row r="267" ht="39.75" customHeight="1">
      <c r="A267" s="62"/>
      <c r="B267" s="156"/>
      <c r="C267" s="105" t="str">
        <f>VLOOKUP(D267,[1]Saldo!A265:B31538,2,0)</f>
        <v>#ERROR!</v>
      </c>
      <c r="D267" s="68" t="s">
        <v>970</v>
      </c>
      <c r="E267" s="68" t="s">
        <v>971</v>
      </c>
      <c r="F267" s="149">
        <v>2.0</v>
      </c>
      <c r="G267" s="68">
        <v>12000.0</v>
      </c>
      <c r="H267" s="150">
        <f>'PAINEL DE CONTROLE'!$G$5</f>
        <v>28359</v>
      </c>
      <c r="I267" s="150">
        <v>24649.0</v>
      </c>
      <c r="J267" s="150">
        <f t="shared" si="3"/>
        <v>36649</v>
      </c>
      <c r="K267" s="151">
        <f t="shared" si="4"/>
        <v>8290</v>
      </c>
      <c r="L267" s="60"/>
      <c r="M267" s="31"/>
      <c r="N267" s="61"/>
      <c r="O267" s="60"/>
      <c r="P267" s="31"/>
      <c r="Q267" s="61"/>
      <c r="R267" s="60"/>
      <c r="S267" s="31"/>
      <c r="T267" s="61"/>
      <c r="U267" s="60"/>
      <c r="V267" s="31"/>
      <c r="W267" s="61"/>
      <c r="X267" s="60"/>
      <c r="Y267" s="31"/>
      <c r="Z267" s="61"/>
      <c r="AA267" s="60"/>
      <c r="AB267" s="31"/>
      <c r="AC267" s="61"/>
      <c r="AD267" s="60"/>
      <c r="AE267" s="31"/>
      <c r="AF267" s="61"/>
      <c r="AG267" s="60"/>
      <c r="AH267" s="31"/>
      <c r="AI267" s="61"/>
      <c r="AJ267" s="60"/>
      <c r="AK267" s="31"/>
      <c r="AL267" s="61"/>
      <c r="AM267" s="60"/>
      <c r="AN267" s="31"/>
      <c r="AO267" s="61"/>
      <c r="AP267" s="60"/>
      <c r="AQ267" s="31"/>
      <c r="AR267" s="61"/>
      <c r="AS267" s="60"/>
      <c r="AT267" s="31"/>
      <c r="AU267" s="61"/>
      <c r="AV267" s="60"/>
      <c r="AW267" s="31"/>
      <c r="AX267" s="61"/>
    </row>
    <row r="268" ht="39.75" customHeight="1">
      <c r="A268" s="62"/>
      <c r="B268" s="156"/>
      <c r="C268" s="105" t="str">
        <f>VLOOKUP(D268,[1]Saldo!A266:B31539,2,0)</f>
        <v>#ERROR!</v>
      </c>
      <c r="D268" s="68" t="s">
        <v>972</v>
      </c>
      <c r="E268" s="68" t="s">
        <v>643</v>
      </c>
      <c r="F268" s="149">
        <v>2.0</v>
      </c>
      <c r="G268" s="68">
        <v>12000.0</v>
      </c>
      <c r="H268" s="150">
        <f>'PAINEL DE CONTROLE'!$G$5</f>
        <v>28359</v>
      </c>
      <c r="I268" s="150">
        <v>24649.0</v>
      </c>
      <c r="J268" s="150">
        <f t="shared" si="3"/>
        <v>36649</v>
      </c>
      <c r="K268" s="151">
        <f t="shared" si="4"/>
        <v>8290</v>
      </c>
      <c r="L268" s="60"/>
      <c r="M268" s="31"/>
      <c r="N268" s="61"/>
      <c r="O268" s="60"/>
      <c r="P268" s="31"/>
      <c r="Q268" s="61"/>
      <c r="R268" s="60"/>
      <c r="S268" s="31"/>
      <c r="T268" s="61"/>
      <c r="U268" s="60"/>
      <c r="V268" s="31"/>
      <c r="W268" s="61"/>
      <c r="X268" s="60"/>
      <c r="Y268" s="31"/>
      <c r="Z268" s="61"/>
      <c r="AA268" s="60"/>
      <c r="AB268" s="31"/>
      <c r="AC268" s="61"/>
      <c r="AD268" s="60"/>
      <c r="AE268" s="31"/>
      <c r="AF268" s="61"/>
      <c r="AG268" s="60"/>
      <c r="AH268" s="31"/>
      <c r="AI268" s="61"/>
      <c r="AJ268" s="60"/>
      <c r="AK268" s="31"/>
      <c r="AL268" s="61"/>
      <c r="AM268" s="60"/>
      <c r="AN268" s="31"/>
      <c r="AO268" s="61"/>
      <c r="AP268" s="60"/>
      <c r="AQ268" s="31"/>
      <c r="AR268" s="61"/>
      <c r="AS268" s="60"/>
      <c r="AT268" s="31"/>
      <c r="AU268" s="61"/>
      <c r="AV268" s="60"/>
      <c r="AW268" s="31"/>
      <c r="AX268" s="61"/>
    </row>
    <row r="269" ht="39.75" customHeight="1">
      <c r="A269" s="62"/>
      <c r="B269" s="156"/>
      <c r="C269" s="105" t="str">
        <f>VLOOKUP(D269,[1]Saldo!A267:B31540,2,0)</f>
        <v>#ERROR!</v>
      </c>
      <c r="D269" s="68" t="s">
        <v>973</v>
      </c>
      <c r="E269" s="68" t="s">
        <v>974</v>
      </c>
      <c r="F269" s="149">
        <v>2.0</v>
      </c>
      <c r="G269" s="68">
        <v>12000.0</v>
      </c>
      <c r="H269" s="150">
        <f>'PAINEL DE CONTROLE'!$G$5</f>
        <v>28359</v>
      </c>
      <c r="I269" s="150">
        <v>24649.0</v>
      </c>
      <c r="J269" s="150">
        <f t="shared" si="3"/>
        <v>36649</v>
      </c>
      <c r="K269" s="151">
        <f t="shared" si="4"/>
        <v>8290</v>
      </c>
      <c r="L269" s="60"/>
      <c r="M269" s="31"/>
      <c r="N269" s="61"/>
      <c r="O269" s="60"/>
      <c r="P269" s="31"/>
      <c r="Q269" s="61"/>
      <c r="R269" s="60"/>
      <c r="S269" s="31"/>
      <c r="T269" s="61"/>
      <c r="U269" s="60"/>
      <c r="V269" s="31"/>
      <c r="W269" s="61"/>
      <c r="X269" s="60"/>
      <c r="Y269" s="31"/>
      <c r="Z269" s="61"/>
      <c r="AA269" s="60"/>
      <c r="AB269" s="31"/>
      <c r="AC269" s="61"/>
      <c r="AD269" s="60"/>
      <c r="AE269" s="31"/>
      <c r="AF269" s="61"/>
      <c r="AG269" s="60"/>
      <c r="AH269" s="31"/>
      <c r="AI269" s="61"/>
      <c r="AJ269" s="60"/>
      <c r="AK269" s="31"/>
      <c r="AL269" s="61"/>
      <c r="AM269" s="60"/>
      <c r="AN269" s="31"/>
      <c r="AO269" s="61"/>
      <c r="AP269" s="60"/>
      <c r="AQ269" s="31"/>
      <c r="AR269" s="61"/>
      <c r="AS269" s="60"/>
      <c r="AT269" s="31"/>
      <c r="AU269" s="61"/>
      <c r="AV269" s="60"/>
      <c r="AW269" s="31"/>
      <c r="AX269" s="61"/>
    </row>
    <row r="270" ht="39.75" customHeight="1">
      <c r="A270" s="62"/>
      <c r="B270" s="156"/>
      <c r="C270" s="105" t="str">
        <f>VLOOKUP(D270,[1]Saldo!A268:B31541,2,0)</f>
        <v>#ERROR!</v>
      </c>
      <c r="D270" s="68" t="s">
        <v>975</v>
      </c>
      <c r="E270" s="68" t="s">
        <v>139</v>
      </c>
      <c r="F270" s="149">
        <v>2.0</v>
      </c>
      <c r="G270" s="68">
        <v>12000.0</v>
      </c>
      <c r="H270" s="150">
        <f>'PAINEL DE CONTROLE'!$G$5</f>
        <v>28359</v>
      </c>
      <c r="I270" s="150">
        <v>24649.0</v>
      </c>
      <c r="J270" s="150">
        <f t="shared" si="3"/>
        <v>36649</v>
      </c>
      <c r="K270" s="151">
        <f t="shared" si="4"/>
        <v>8290</v>
      </c>
      <c r="L270" s="60"/>
      <c r="M270" s="31"/>
      <c r="N270" s="61"/>
      <c r="O270" s="60"/>
      <c r="P270" s="31"/>
      <c r="Q270" s="61"/>
      <c r="R270" s="60"/>
      <c r="S270" s="31"/>
      <c r="T270" s="61"/>
      <c r="U270" s="60"/>
      <c r="V270" s="31"/>
      <c r="W270" s="61"/>
      <c r="X270" s="60"/>
      <c r="Y270" s="31"/>
      <c r="Z270" s="61"/>
      <c r="AA270" s="60"/>
      <c r="AB270" s="31"/>
      <c r="AC270" s="61"/>
      <c r="AD270" s="60"/>
      <c r="AE270" s="31"/>
      <c r="AF270" s="61"/>
      <c r="AG270" s="60"/>
      <c r="AH270" s="31"/>
      <c r="AI270" s="61"/>
      <c r="AJ270" s="60"/>
      <c r="AK270" s="31"/>
      <c r="AL270" s="61"/>
      <c r="AM270" s="60"/>
      <c r="AN270" s="31"/>
      <c r="AO270" s="61"/>
      <c r="AP270" s="60"/>
      <c r="AQ270" s="31"/>
      <c r="AR270" s="61"/>
      <c r="AS270" s="60"/>
      <c r="AT270" s="31"/>
      <c r="AU270" s="61"/>
      <c r="AV270" s="60"/>
      <c r="AW270" s="31"/>
      <c r="AX270" s="61"/>
    </row>
    <row r="271" ht="39.75" customHeight="1">
      <c r="A271" s="62"/>
      <c r="B271" s="156"/>
      <c r="C271" s="105" t="str">
        <f>VLOOKUP(D271,[1]Saldo!A269:B31542,2,0)</f>
        <v>#ERROR!</v>
      </c>
      <c r="D271" s="68" t="s">
        <v>976</v>
      </c>
      <c r="E271" s="68" t="s">
        <v>813</v>
      </c>
      <c r="F271" s="149">
        <v>1.0</v>
      </c>
      <c r="G271" s="68">
        <v>12000.0</v>
      </c>
      <c r="H271" s="150">
        <f>'PAINEL DE CONTROLE'!$G$5</f>
        <v>28359</v>
      </c>
      <c r="I271" s="150">
        <v>24649.0</v>
      </c>
      <c r="J271" s="150">
        <f t="shared" si="3"/>
        <v>36649</v>
      </c>
      <c r="K271" s="151">
        <f t="shared" si="4"/>
        <v>8290</v>
      </c>
      <c r="L271" s="60"/>
      <c r="M271" s="31"/>
      <c r="N271" s="61"/>
      <c r="O271" s="60"/>
      <c r="P271" s="31"/>
      <c r="Q271" s="61"/>
      <c r="R271" s="60"/>
      <c r="S271" s="31"/>
      <c r="T271" s="61"/>
      <c r="U271" s="60"/>
      <c r="V271" s="31"/>
      <c r="W271" s="61"/>
      <c r="X271" s="60"/>
      <c r="Y271" s="31"/>
      <c r="Z271" s="61"/>
      <c r="AA271" s="60"/>
      <c r="AB271" s="31"/>
      <c r="AC271" s="61"/>
      <c r="AD271" s="60"/>
      <c r="AE271" s="31"/>
      <c r="AF271" s="61"/>
      <c r="AG271" s="60"/>
      <c r="AH271" s="31"/>
      <c r="AI271" s="61"/>
      <c r="AJ271" s="60"/>
      <c r="AK271" s="31"/>
      <c r="AL271" s="61"/>
      <c r="AM271" s="60"/>
      <c r="AN271" s="31"/>
      <c r="AO271" s="61"/>
      <c r="AP271" s="60"/>
      <c r="AQ271" s="31"/>
      <c r="AR271" s="61"/>
      <c r="AS271" s="60"/>
      <c r="AT271" s="31"/>
      <c r="AU271" s="61"/>
      <c r="AV271" s="60"/>
      <c r="AW271" s="31"/>
      <c r="AX271" s="61"/>
    </row>
    <row r="272" ht="39.75" customHeight="1">
      <c r="A272" s="62"/>
      <c r="B272" s="156"/>
      <c r="C272" s="105" t="str">
        <f>VLOOKUP(D272,[1]Saldo!A270:B31543,2,0)</f>
        <v>#ERROR!</v>
      </c>
      <c r="D272" s="68" t="s">
        <v>977</v>
      </c>
      <c r="E272" s="68" t="s">
        <v>978</v>
      </c>
      <c r="F272" s="149">
        <v>2.0</v>
      </c>
      <c r="G272" s="68">
        <v>12000.0</v>
      </c>
      <c r="H272" s="150">
        <f>'PAINEL DE CONTROLE'!$G$5</f>
        <v>28359</v>
      </c>
      <c r="I272" s="150">
        <v>24649.0</v>
      </c>
      <c r="J272" s="150">
        <f t="shared" si="3"/>
        <v>36649</v>
      </c>
      <c r="K272" s="151">
        <f t="shared" si="4"/>
        <v>8290</v>
      </c>
      <c r="L272" s="60"/>
      <c r="M272" s="31"/>
      <c r="N272" s="61"/>
      <c r="O272" s="60"/>
      <c r="P272" s="31"/>
      <c r="Q272" s="61"/>
      <c r="R272" s="60"/>
      <c r="S272" s="31"/>
      <c r="T272" s="61"/>
      <c r="U272" s="60"/>
      <c r="V272" s="31"/>
      <c r="W272" s="61"/>
      <c r="X272" s="60"/>
      <c r="Y272" s="31"/>
      <c r="Z272" s="61"/>
      <c r="AA272" s="60"/>
      <c r="AB272" s="31"/>
      <c r="AC272" s="61"/>
      <c r="AD272" s="60"/>
      <c r="AE272" s="31"/>
      <c r="AF272" s="61"/>
      <c r="AG272" s="60"/>
      <c r="AH272" s="31"/>
      <c r="AI272" s="61"/>
      <c r="AJ272" s="60"/>
      <c r="AK272" s="31"/>
      <c r="AL272" s="61"/>
      <c r="AM272" s="60"/>
      <c r="AN272" s="31"/>
      <c r="AO272" s="61"/>
      <c r="AP272" s="60"/>
      <c r="AQ272" s="31"/>
      <c r="AR272" s="61"/>
      <c r="AS272" s="60"/>
      <c r="AT272" s="31"/>
      <c r="AU272" s="61"/>
      <c r="AV272" s="60"/>
      <c r="AW272" s="31"/>
      <c r="AX272" s="61"/>
    </row>
    <row r="273" ht="39.75" customHeight="1">
      <c r="A273" s="62"/>
      <c r="B273" s="156"/>
      <c r="C273" s="105" t="str">
        <f>VLOOKUP(D273,[1]Saldo!A271:B31544,2,0)</f>
        <v>#ERROR!</v>
      </c>
      <c r="D273" s="68" t="s">
        <v>979</v>
      </c>
      <c r="E273" s="68" t="s">
        <v>980</v>
      </c>
      <c r="F273" s="149">
        <v>2.0</v>
      </c>
      <c r="G273" s="68">
        <v>12000.0</v>
      </c>
      <c r="H273" s="150">
        <f>'PAINEL DE CONTROLE'!$G$5</f>
        <v>28359</v>
      </c>
      <c r="I273" s="150">
        <v>24649.0</v>
      </c>
      <c r="J273" s="150">
        <f t="shared" si="3"/>
        <v>36649</v>
      </c>
      <c r="K273" s="151">
        <f t="shared" si="4"/>
        <v>8290</v>
      </c>
      <c r="L273" s="60"/>
      <c r="M273" s="31"/>
      <c r="N273" s="61"/>
      <c r="O273" s="60"/>
      <c r="P273" s="31"/>
      <c r="Q273" s="61"/>
      <c r="R273" s="60"/>
      <c r="S273" s="31"/>
      <c r="T273" s="61"/>
      <c r="U273" s="60"/>
      <c r="V273" s="31"/>
      <c r="W273" s="61"/>
      <c r="X273" s="60"/>
      <c r="Y273" s="31"/>
      <c r="Z273" s="61"/>
      <c r="AA273" s="60"/>
      <c r="AB273" s="31"/>
      <c r="AC273" s="61"/>
      <c r="AD273" s="60"/>
      <c r="AE273" s="31"/>
      <c r="AF273" s="61"/>
      <c r="AG273" s="60"/>
      <c r="AH273" s="31"/>
      <c r="AI273" s="61"/>
      <c r="AJ273" s="60"/>
      <c r="AK273" s="31"/>
      <c r="AL273" s="61"/>
      <c r="AM273" s="60"/>
      <c r="AN273" s="31"/>
      <c r="AO273" s="61"/>
      <c r="AP273" s="60"/>
      <c r="AQ273" s="31"/>
      <c r="AR273" s="61"/>
      <c r="AS273" s="60"/>
      <c r="AT273" s="31"/>
      <c r="AU273" s="61"/>
      <c r="AV273" s="60"/>
      <c r="AW273" s="31"/>
      <c r="AX273" s="61"/>
    </row>
    <row r="274" ht="39.75" customHeight="1">
      <c r="A274" s="62"/>
      <c r="B274" s="156"/>
      <c r="C274" s="105" t="str">
        <f>VLOOKUP(D274,[1]Saldo!A272:B31545,2,0)</f>
        <v>#ERROR!</v>
      </c>
      <c r="D274" s="68" t="s">
        <v>981</v>
      </c>
      <c r="E274" s="68" t="s">
        <v>813</v>
      </c>
      <c r="F274" s="149">
        <v>2.0</v>
      </c>
      <c r="G274" s="68">
        <v>12000.0</v>
      </c>
      <c r="H274" s="150">
        <f>'PAINEL DE CONTROLE'!$G$5</f>
        <v>28359</v>
      </c>
      <c r="I274" s="150">
        <v>24649.0</v>
      </c>
      <c r="J274" s="150">
        <f t="shared" si="3"/>
        <v>36649</v>
      </c>
      <c r="K274" s="151">
        <f t="shared" si="4"/>
        <v>8290</v>
      </c>
      <c r="L274" s="60"/>
      <c r="M274" s="31"/>
      <c r="N274" s="61"/>
      <c r="O274" s="60"/>
      <c r="P274" s="31"/>
      <c r="Q274" s="61"/>
      <c r="R274" s="60"/>
      <c r="S274" s="31"/>
      <c r="T274" s="61"/>
      <c r="U274" s="60"/>
      <c r="V274" s="31"/>
      <c r="W274" s="61"/>
      <c r="X274" s="60"/>
      <c r="Y274" s="31"/>
      <c r="Z274" s="61"/>
      <c r="AA274" s="60"/>
      <c r="AB274" s="31"/>
      <c r="AC274" s="61"/>
      <c r="AD274" s="60"/>
      <c r="AE274" s="31"/>
      <c r="AF274" s="61"/>
      <c r="AG274" s="60"/>
      <c r="AH274" s="31"/>
      <c r="AI274" s="61"/>
      <c r="AJ274" s="60"/>
      <c r="AK274" s="31"/>
      <c r="AL274" s="61"/>
      <c r="AM274" s="60"/>
      <c r="AN274" s="31"/>
      <c r="AO274" s="61"/>
      <c r="AP274" s="60"/>
      <c r="AQ274" s="31"/>
      <c r="AR274" s="61"/>
      <c r="AS274" s="60"/>
      <c r="AT274" s="31"/>
      <c r="AU274" s="61"/>
      <c r="AV274" s="60"/>
      <c r="AW274" s="31"/>
      <c r="AX274" s="61"/>
    </row>
    <row r="275" ht="39.75" customHeight="1">
      <c r="A275" s="63"/>
      <c r="B275" s="156"/>
      <c r="C275" s="105" t="str">
        <f>VLOOKUP(D275,[1]Saldo!A273:B31546,2,0)</f>
        <v>#ERROR!</v>
      </c>
      <c r="D275" s="68" t="s">
        <v>982</v>
      </c>
      <c r="E275" s="68" t="s">
        <v>813</v>
      </c>
      <c r="F275" s="149">
        <v>2.0</v>
      </c>
      <c r="G275" s="68">
        <v>12000.0</v>
      </c>
      <c r="H275" s="150">
        <f>'PAINEL DE CONTROLE'!$G$5</f>
        <v>28359</v>
      </c>
      <c r="I275" s="150">
        <v>24649.0</v>
      </c>
      <c r="J275" s="150">
        <f t="shared" si="3"/>
        <v>36649</v>
      </c>
      <c r="K275" s="151">
        <f t="shared" si="4"/>
        <v>8290</v>
      </c>
      <c r="L275" s="107"/>
      <c r="M275" s="108"/>
      <c r="N275" s="109"/>
      <c r="O275" s="107"/>
      <c r="P275" s="108"/>
      <c r="Q275" s="109"/>
      <c r="R275" s="107"/>
      <c r="S275" s="108"/>
      <c r="T275" s="109"/>
      <c r="U275" s="107"/>
      <c r="V275" s="108"/>
      <c r="W275" s="109"/>
      <c r="X275" s="107"/>
      <c r="Y275" s="108"/>
      <c r="Z275" s="109"/>
      <c r="AA275" s="107"/>
      <c r="AB275" s="108"/>
      <c r="AC275" s="109"/>
      <c r="AD275" s="107"/>
      <c r="AE275" s="108"/>
      <c r="AF275" s="109"/>
      <c r="AG275" s="107"/>
      <c r="AH275" s="108"/>
      <c r="AI275" s="109"/>
      <c r="AJ275" s="107"/>
      <c r="AK275" s="108"/>
      <c r="AL275" s="109"/>
      <c r="AM275" s="107"/>
      <c r="AN275" s="108"/>
      <c r="AO275" s="109"/>
      <c r="AP275" s="107"/>
      <c r="AQ275" s="108"/>
      <c r="AR275" s="109"/>
      <c r="AS275" s="107"/>
      <c r="AT275" s="108"/>
      <c r="AU275" s="109"/>
      <c r="AV275" s="107"/>
      <c r="AW275" s="108"/>
      <c r="AX275" s="109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K1"/>
    <mergeCell ref="A3:A13"/>
    <mergeCell ref="A14:A25"/>
    <mergeCell ref="A26:A35"/>
    <mergeCell ref="A36:A40"/>
    <mergeCell ref="A41:A53"/>
    <mergeCell ref="A54:A58"/>
    <mergeCell ref="A59:A62"/>
    <mergeCell ref="A63:A65"/>
    <mergeCell ref="A66:A67"/>
    <mergeCell ref="A68:A75"/>
    <mergeCell ref="A76:A89"/>
    <mergeCell ref="A90:A91"/>
    <mergeCell ref="A92:A103"/>
    <mergeCell ref="A104:A108"/>
    <mergeCell ref="A109:A114"/>
    <mergeCell ref="A115:A117"/>
    <mergeCell ref="A118:A119"/>
    <mergeCell ref="A120:A137"/>
    <mergeCell ref="A138:A147"/>
    <mergeCell ref="A148:A155"/>
    <mergeCell ref="A255:A259"/>
    <mergeCell ref="A260:A275"/>
    <mergeCell ref="A156:A157"/>
    <mergeCell ref="A158:A162"/>
    <mergeCell ref="A163:A181"/>
    <mergeCell ref="A182:A183"/>
    <mergeCell ref="A184:A202"/>
    <mergeCell ref="A203:A233"/>
    <mergeCell ref="A234:A253"/>
  </mergeCells>
  <conditionalFormatting sqref="G2:G275">
    <cfRule type="cellIs" dxfId="4" priority="1" operator="equal">
      <formula>1000</formula>
    </cfRule>
  </conditionalFormatting>
  <conditionalFormatting sqref="G2:G275">
    <cfRule type="cellIs" dxfId="6" priority="2" operator="equal">
      <formula>2000</formula>
    </cfRule>
  </conditionalFormatting>
  <conditionalFormatting sqref="G2:G275">
    <cfRule type="cellIs" dxfId="7" priority="3" stopIfTrue="1" operator="equal">
      <formula>1000</formula>
    </cfRule>
  </conditionalFormatting>
  <conditionalFormatting sqref="K2:K275">
    <cfRule type="cellIs" dxfId="8" priority="4" operator="lessThanOrEqual">
      <formula>750</formula>
    </cfRule>
  </conditionalFormatting>
  <conditionalFormatting sqref="K3:K275">
    <cfRule type="cellIs" dxfId="9" priority="5" operator="lessThanOrEqual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3" width="22.0"/>
    <col customWidth="1" min="4" max="4" width="53.71"/>
    <col customWidth="1" min="5" max="5" width="10.29"/>
    <col customWidth="1" min="6" max="6" width="16.0"/>
    <col customWidth="1" min="7" max="7" width="13.57"/>
    <col customWidth="1" min="8" max="8" width="16.29"/>
    <col customWidth="1" min="9" max="9" width="14.43"/>
    <col customWidth="1" min="10" max="10" width="16.14"/>
    <col customWidth="1" min="11" max="11" width="20.14"/>
    <col customWidth="1" min="12" max="12" width="49.29"/>
    <col customWidth="1" min="13" max="14" width="20.14"/>
    <col customWidth="1" min="15" max="15" width="49.29"/>
    <col customWidth="1" min="16" max="17" width="20.14"/>
    <col customWidth="1" min="18" max="18" width="49.29"/>
    <col customWidth="1" min="19" max="20" width="20.14"/>
    <col customWidth="1" min="21" max="21" width="49.29"/>
    <col customWidth="1" min="22" max="23" width="20.14"/>
    <col customWidth="1" min="24" max="24" width="49.29"/>
    <col customWidth="1" min="25" max="26" width="20.14"/>
    <col customWidth="1" min="27" max="27" width="49.29"/>
    <col customWidth="1" min="28" max="29" width="20.14"/>
    <col customWidth="1" min="30" max="30" width="49.29"/>
    <col customWidth="1" min="31" max="32" width="20.14"/>
    <col customWidth="1" min="33" max="33" width="49.29"/>
    <col customWidth="1" min="34" max="35" width="20.14"/>
    <col customWidth="1" min="36" max="36" width="49.29"/>
    <col customWidth="1" min="37" max="38" width="20.14"/>
    <col customWidth="1" min="39" max="39" width="49.29"/>
    <col customWidth="1" min="40" max="41" width="20.14"/>
    <col customWidth="1" min="42" max="42" width="49.29"/>
    <col customWidth="1" min="43" max="43" width="20.14"/>
  </cols>
  <sheetData>
    <row r="1" ht="33.0" customHeight="1">
      <c r="A1" s="161" t="s">
        <v>983</v>
      </c>
      <c r="B1" s="37"/>
      <c r="C1" s="37"/>
      <c r="D1" s="37"/>
      <c r="E1" s="37"/>
      <c r="F1" s="37"/>
      <c r="G1" s="37"/>
      <c r="H1" s="37"/>
      <c r="I1" s="37"/>
      <c r="J1" s="162"/>
      <c r="K1" s="139"/>
      <c r="L1" s="140"/>
      <c r="M1" s="141"/>
      <c r="N1" s="139"/>
      <c r="O1" s="140"/>
      <c r="P1" s="141"/>
      <c r="Q1" s="139"/>
      <c r="R1" s="140"/>
      <c r="S1" s="141"/>
      <c r="T1" s="139"/>
      <c r="U1" s="140"/>
      <c r="V1" s="141"/>
      <c r="W1" s="139"/>
      <c r="X1" s="140"/>
      <c r="Y1" s="141"/>
      <c r="Z1" s="139"/>
      <c r="AA1" s="140"/>
      <c r="AB1" s="141"/>
      <c r="AC1" s="139"/>
      <c r="AD1" s="140"/>
      <c r="AE1" s="141"/>
      <c r="AF1" s="139"/>
      <c r="AG1" s="140"/>
      <c r="AH1" s="141"/>
      <c r="AI1" s="139"/>
      <c r="AJ1" s="140"/>
      <c r="AK1" s="141"/>
      <c r="AL1" s="139"/>
      <c r="AM1" s="140"/>
      <c r="AN1" s="141"/>
      <c r="AO1" s="139"/>
      <c r="AP1" s="140"/>
      <c r="AQ1" s="141"/>
    </row>
    <row r="2" ht="30.75" customHeight="1">
      <c r="A2" s="163" t="s">
        <v>96</v>
      </c>
      <c r="B2" s="163" t="s">
        <v>98</v>
      </c>
      <c r="C2" s="163" t="s">
        <v>99</v>
      </c>
      <c r="D2" s="163" t="s">
        <v>100</v>
      </c>
      <c r="E2" s="164" t="s">
        <v>101</v>
      </c>
      <c r="F2" s="163" t="s">
        <v>506</v>
      </c>
      <c r="G2" s="163" t="s">
        <v>103</v>
      </c>
      <c r="H2" s="163" t="s">
        <v>104</v>
      </c>
      <c r="I2" s="163" t="s">
        <v>105</v>
      </c>
      <c r="J2" s="163" t="s">
        <v>106</v>
      </c>
      <c r="K2" s="47" t="s">
        <v>107</v>
      </c>
      <c r="L2" s="45" t="s">
        <v>108</v>
      </c>
      <c r="M2" s="126" t="s">
        <v>109</v>
      </c>
      <c r="N2" s="47" t="s">
        <v>107</v>
      </c>
      <c r="O2" s="45" t="s">
        <v>108</v>
      </c>
      <c r="P2" s="126" t="s">
        <v>109</v>
      </c>
      <c r="Q2" s="47" t="s">
        <v>107</v>
      </c>
      <c r="R2" s="45" t="s">
        <v>108</v>
      </c>
      <c r="S2" s="126" t="s">
        <v>109</v>
      </c>
      <c r="T2" s="47" t="s">
        <v>107</v>
      </c>
      <c r="U2" s="45" t="s">
        <v>108</v>
      </c>
      <c r="V2" s="126" t="s">
        <v>109</v>
      </c>
      <c r="W2" s="47" t="s">
        <v>107</v>
      </c>
      <c r="X2" s="45" t="s">
        <v>108</v>
      </c>
      <c r="Y2" s="126" t="s">
        <v>109</v>
      </c>
      <c r="Z2" s="47" t="s">
        <v>107</v>
      </c>
      <c r="AA2" s="45" t="s">
        <v>108</v>
      </c>
      <c r="AB2" s="126" t="s">
        <v>109</v>
      </c>
      <c r="AC2" s="47" t="s">
        <v>107</v>
      </c>
      <c r="AD2" s="45" t="s">
        <v>108</v>
      </c>
      <c r="AE2" s="126" t="s">
        <v>109</v>
      </c>
      <c r="AF2" s="47" t="s">
        <v>107</v>
      </c>
      <c r="AG2" s="45" t="s">
        <v>108</v>
      </c>
      <c r="AH2" s="126" t="s">
        <v>109</v>
      </c>
      <c r="AI2" s="47" t="s">
        <v>107</v>
      </c>
      <c r="AJ2" s="45" t="s">
        <v>108</v>
      </c>
      <c r="AK2" s="126" t="s">
        <v>109</v>
      </c>
      <c r="AL2" s="47" t="s">
        <v>107</v>
      </c>
      <c r="AM2" s="45" t="s">
        <v>108</v>
      </c>
      <c r="AN2" s="126" t="s">
        <v>109</v>
      </c>
      <c r="AO2" s="47" t="s">
        <v>107</v>
      </c>
      <c r="AP2" s="45" t="s">
        <v>108</v>
      </c>
      <c r="AQ2" s="126" t="s">
        <v>109</v>
      </c>
    </row>
    <row r="3" ht="30.75" customHeight="1">
      <c r="A3" s="165" t="s">
        <v>984</v>
      </c>
      <c r="B3" s="166" t="str">
        <f>VLOOKUP(C3,[1]Saldo!A2:B31275,2,0)</f>
        <v>#ERROR!</v>
      </c>
      <c r="C3" s="166" t="s">
        <v>985</v>
      </c>
      <c r="D3" s="166" t="s">
        <v>986</v>
      </c>
      <c r="E3" s="166">
        <v>4.0</v>
      </c>
      <c r="F3" s="166">
        <v>4000.0</v>
      </c>
      <c r="G3" s="167">
        <f>'PAINEL DE CONTROLE'!$G$6</f>
        <v>29646</v>
      </c>
      <c r="H3" s="168">
        <v>25839.0</v>
      </c>
      <c r="I3" s="166">
        <f t="shared" ref="I3:I18" si="1">SUM(H3+F3)</f>
        <v>29839</v>
      </c>
      <c r="J3" s="167">
        <f t="shared" ref="J3:J18" si="2">SUM(I3-G3)</f>
        <v>193</v>
      </c>
      <c r="K3" s="60"/>
      <c r="L3" s="31"/>
      <c r="M3" s="61"/>
      <c r="N3" s="60"/>
      <c r="O3" s="31"/>
      <c r="P3" s="61"/>
      <c r="Q3" s="60"/>
      <c r="R3" s="31"/>
      <c r="S3" s="61"/>
      <c r="T3" s="60"/>
      <c r="U3" s="31"/>
      <c r="V3" s="61"/>
      <c r="W3" s="60"/>
      <c r="X3" s="31"/>
      <c r="Y3" s="61"/>
      <c r="Z3" s="60"/>
      <c r="AA3" s="31"/>
      <c r="AB3" s="61"/>
      <c r="AC3" s="60"/>
      <c r="AD3" s="31"/>
      <c r="AE3" s="61"/>
      <c r="AF3" s="60"/>
      <c r="AG3" s="31"/>
      <c r="AH3" s="61"/>
      <c r="AI3" s="60"/>
      <c r="AJ3" s="31"/>
      <c r="AK3" s="61"/>
      <c r="AL3" s="60"/>
      <c r="AM3" s="31"/>
      <c r="AN3" s="61"/>
      <c r="AO3" s="60"/>
      <c r="AP3" s="31"/>
      <c r="AQ3" s="61"/>
    </row>
    <row r="4" ht="30.75" customHeight="1">
      <c r="A4" s="62"/>
      <c r="B4" s="166" t="str">
        <f>VLOOKUP(C4,[1]Saldo!A3:B31276,2,0)</f>
        <v>#ERROR!</v>
      </c>
      <c r="C4" s="166" t="s">
        <v>987</v>
      </c>
      <c r="D4" s="166" t="s">
        <v>988</v>
      </c>
      <c r="E4" s="169">
        <v>6.0</v>
      </c>
      <c r="F4" s="166">
        <v>6000.0</v>
      </c>
      <c r="G4" s="167">
        <f>'PAINEL DE CONTROLE'!$G$6</f>
        <v>29646</v>
      </c>
      <c r="H4" s="168">
        <v>25839.0</v>
      </c>
      <c r="I4" s="166">
        <f t="shared" si="1"/>
        <v>31839</v>
      </c>
      <c r="J4" s="167">
        <f t="shared" si="2"/>
        <v>2193</v>
      </c>
      <c r="K4" s="60"/>
      <c r="L4" s="31"/>
      <c r="M4" s="61"/>
      <c r="N4" s="60"/>
      <c r="O4" s="31"/>
      <c r="P4" s="61"/>
      <c r="Q4" s="60"/>
      <c r="R4" s="31"/>
      <c r="S4" s="61"/>
      <c r="T4" s="60"/>
      <c r="U4" s="31"/>
      <c r="V4" s="61"/>
      <c r="W4" s="60"/>
      <c r="X4" s="31"/>
      <c r="Y4" s="61"/>
      <c r="Z4" s="60"/>
      <c r="AA4" s="31"/>
      <c r="AB4" s="61"/>
      <c r="AC4" s="60"/>
      <c r="AD4" s="31"/>
      <c r="AE4" s="61"/>
      <c r="AF4" s="60"/>
      <c r="AG4" s="31"/>
      <c r="AH4" s="61"/>
      <c r="AI4" s="60"/>
      <c r="AJ4" s="31"/>
      <c r="AK4" s="61"/>
      <c r="AL4" s="60"/>
      <c r="AM4" s="31"/>
      <c r="AN4" s="61"/>
      <c r="AO4" s="60"/>
      <c r="AP4" s="31"/>
      <c r="AQ4" s="61"/>
    </row>
    <row r="5" ht="30.75" customHeight="1">
      <c r="A5" s="62"/>
      <c r="B5" s="166" t="str">
        <f>VLOOKUP(C5,[1]Saldo!A4:B31277,2,0)</f>
        <v>#ERROR!</v>
      </c>
      <c r="C5" s="166" t="s">
        <v>989</v>
      </c>
      <c r="D5" s="166" t="s">
        <v>990</v>
      </c>
      <c r="E5" s="169">
        <v>4.0</v>
      </c>
      <c r="F5" s="166">
        <v>6000.0</v>
      </c>
      <c r="G5" s="167">
        <f>'PAINEL DE CONTROLE'!$G$6</f>
        <v>29646</v>
      </c>
      <c r="H5" s="168">
        <v>25839.0</v>
      </c>
      <c r="I5" s="166">
        <f t="shared" si="1"/>
        <v>31839</v>
      </c>
      <c r="J5" s="167">
        <f t="shared" si="2"/>
        <v>2193</v>
      </c>
      <c r="K5" s="60"/>
      <c r="L5" s="31"/>
      <c r="M5" s="61"/>
      <c r="N5" s="60"/>
      <c r="O5" s="31"/>
      <c r="P5" s="61"/>
      <c r="Q5" s="60"/>
      <c r="R5" s="31"/>
      <c r="S5" s="61"/>
      <c r="T5" s="60"/>
      <c r="U5" s="31"/>
      <c r="V5" s="61"/>
      <c r="W5" s="60"/>
      <c r="X5" s="31"/>
      <c r="Y5" s="61"/>
      <c r="Z5" s="60"/>
      <c r="AA5" s="31"/>
      <c r="AB5" s="61"/>
      <c r="AC5" s="60"/>
      <c r="AD5" s="31"/>
      <c r="AE5" s="61"/>
      <c r="AF5" s="60"/>
      <c r="AG5" s="31"/>
      <c r="AH5" s="61"/>
      <c r="AI5" s="60"/>
      <c r="AJ5" s="31"/>
      <c r="AK5" s="61"/>
      <c r="AL5" s="60"/>
      <c r="AM5" s="31"/>
      <c r="AN5" s="61"/>
      <c r="AO5" s="60"/>
      <c r="AP5" s="31"/>
      <c r="AQ5" s="61"/>
    </row>
    <row r="6" ht="30.75" customHeight="1">
      <c r="A6" s="62"/>
      <c r="B6" s="166" t="str">
        <f>VLOOKUP(C6,[1]Saldo!A5:B31278,2,0)</f>
        <v>#ERROR!</v>
      </c>
      <c r="C6" s="166" t="s">
        <v>991</v>
      </c>
      <c r="D6" s="166" t="s">
        <v>992</v>
      </c>
      <c r="E6" s="169">
        <v>23.0</v>
      </c>
      <c r="F6" s="166">
        <v>6000.0</v>
      </c>
      <c r="G6" s="167">
        <f>'PAINEL DE CONTROLE'!$G$6</f>
        <v>29646</v>
      </c>
      <c r="H6" s="168">
        <v>25839.0</v>
      </c>
      <c r="I6" s="166">
        <f t="shared" si="1"/>
        <v>31839</v>
      </c>
      <c r="J6" s="167">
        <f t="shared" si="2"/>
        <v>2193</v>
      </c>
      <c r="K6" s="60"/>
      <c r="L6" s="31"/>
      <c r="M6" s="61"/>
      <c r="N6" s="60"/>
      <c r="O6" s="31"/>
      <c r="P6" s="61"/>
      <c r="Q6" s="60"/>
      <c r="R6" s="31"/>
      <c r="S6" s="61"/>
      <c r="T6" s="60"/>
      <c r="U6" s="31"/>
      <c r="V6" s="61"/>
      <c r="W6" s="60"/>
      <c r="X6" s="31"/>
      <c r="Y6" s="61"/>
      <c r="Z6" s="60"/>
      <c r="AA6" s="31"/>
      <c r="AB6" s="61"/>
      <c r="AC6" s="60"/>
      <c r="AD6" s="31"/>
      <c r="AE6" s="61"/>
      <c r="AF6" s="60"/>
      <c r="AG6" s="31"/>
      <c r="AH6" s="61"/>
      <c r="AI6" s="60"/>
      <c r="AJ6" s="31"/>
      <c r="AK6" s="61"/>
      <c r="AL6" s="60"/>
      <c r="AM6" s="31"/>
      <c r="AN6" s="61"/>
      <c r="AO6" s="60"/>
      <c r="AP6" s="31"/>
      <c r="AQ6" s="61"/>
    </row>
    <row r="7" ht="30.75" customHeight="1">
      <c r="A7" s="62"/>
      <c r="B7" s="166" t="str">
        <f>VLOOKUP(C7,[1]Saldo!A6:B31279,2,0)</f>
        <v>#ERROR!</v>
      </c>
      <c r="C7" s="166" t="s">
        <v>993</v>
      </c>
      <c r="D7" s="166" t="s">
        <v>672</v>
      </c>
      <c r="E7" s="169">
        <v>4.0</v>
      </c>
      <c r="F7" s="166">
        <v>6000.0</v>
      </c>
      <c r="G7" s="167">
        <f>'PAINEL DE CONTROLE'!$G$6</f>
        <v>29646</v>
      </c>
      <c r="H7" s="168">
        <v>25839.0</v>
      </c>
      <c r="I7" s="166">
        <f t="shared" si="1"/>
        <v>31839</v>
      </c>
      <c r="J7" s="167">
        <f t="shared" si="2"/>
        <v>2193</v>
      </c>
      <c r="K7" s="60"/>
      <c r="L7" s="31"/>
      <c r="M7" s="61"/>
      <c r="N7" s="60"/>
      <c r="O7" s="31"/>
      <c r="P7" s="61"/>
      <c r="Q7" s="60"/>
      <c r="R7" s="31"/>
      <c r="S7" s="61"/>
      <c r="T7" s="60"/>
      <c r="U7" s="31"/>
      <c r="V7" s="61"/>
      <c r="W7" s="60"/>
      <c r="X7" s="31"/>
      <c r="Y7" s="61"/>
      <c r="Z7" s="60"/>
      <c r="AA7" s="31"/>
      <c r="AB7" s="61"/>
      <c r="AC7" s="60"/>
      <c r="AD7" s="31"/>
      <c r="AE7" s="61"/>
      <c r="AF7" s="60"/>
      <c r="AG7" s="31"/>
      <c r="AH7" s="61"/>
      <c r="AI7" s="60"/>
      <c r="AJ7" s="31"/>
      <c r="AK7" s="61"/>
      <c r="AL7" s="60"/>
      <c r="AM7" s="31"/>
      <c r="AN7" s="61"/>
      <c r="AO7" s="60"/>
      <c r="AP7" s="31"/>
      <c r="AQ7" s="61"/>
    </row>
    <row r="8" ht="30.75" customHeight="1">
      <c r="A8" s="62"/>
      <c r="B8" s="166" t="str">
        <f>VLOOKUP(C8,[1]Saldo!A7:B31280,2,0)</f>
        <v>#ERROR!</v>
      </c>
      <c r="C8" s="170" t="s">
        <v>994</v>
      </c>
      <c r="D8" s="166" t="s">
        <v>634</v>
      </c>
      <c r="E8" s="169">
        <v>1.0</v>
      </c>
      <c r="F8" s="166">
        <v>6000.0</v>
      </c>
      <c r="G8" s="167">
        <f>'PAINEL DE CONTROLE'!$G$6</f>
        <v>29646</v>
      </c>
      <c r="H8" s="168">
        <v>25839.0</v>
      </c>
      <c r="I8" s="166">
        <f t="shared" si="1"/>
        <v>31839</v>
      </c>
      <c r="J8" s="167">
        <f t="shared" si="2"/>
        <v>2193</v>
      </c>
      <c r="K8" s="60"/>
      <c r="L8" s="31"/>
      <c r="M8" s="61"/>
      <c r="N8" s="60"/>
      <c r="O8" s="31"/>
      <c r="P8" s="61"/>
      <c r="Q8" s="60"/>
      <c r="R8" s="31"/>
      <c r="S8" s="61"/>
      <c r="T8" s="60"/>
      <c r="U8" s="31"/>
      <c r="V8" s="61"/>
      <c r="W8" s="60"/>
      <c r="X8" s="31"/>
      <c r="Y8" s="61"/>
      <c r="Z8" s="60"/>
      <c r="AA8" s="31"/>
      <c r="AB8" s="61"/>
      <c r="AC8" s="60"/>
      <c r="AD8" s="31"/>
      <c r="AE8" s="61"/>
      <c r="AF8" s="60"/>
      <c r="AG8" s="31"/>
      <c r="AH8" s="61"/>
      <c r="AI8" s="60"/>
      <c r="AJ8" s="31"/>
      <c r="AK8" s="61"/>
      <c r="AL8" s="60"/>
      <c r="AM8" s="31"/>
      <c r="AN8" s="61"/>
      <c r="AO8" s="60"/>
      <c r="AP8" s="31"/>
      <c r="AQ8" s="61"/>
    </row>
    <row r="9" ht="30.75" customHeight="1">
      <c r="A9" s="62"/>
      <c r="B9" s="166" t="str">
        <f>VLOOKUP(C9,[1]Saldo!A8:B31281,2,0)</f>
        <v>#ERROR!</v>
      </c>
      <c r="C9" s="166" t="s">
        <v>995</v>
      </c>
      <c r="D9" s="166" t="s">
        <v>996</v>
      </c>
      <c r="E9" s="169">
        <v>6.0</v>
      </c>
      <c r="F9" s="166">
        <v>6000.0</v>
      </c>
      <c r="G9" s="167">
        <f>'PAINEL DE CONTROLE'!$G$6</f>
        <v>29646</v>
      </c>
      <c r="H9" s="168">
        <v>25839.0</v>
      </c>
      <c r="I9" s="166">
        <f t="shared" si="1"/>
        <v>31839</v>
      </c>
      <c r="J9" s="167">
        <f t="shared" si="2"/>
        <v>2193</v>
      </c>
      <c r="K9" s="60"/>
      <c r="L9" s="31"/>
      <c r="M9" s="61"/>
      <c r="N9" s="60"/>
      <c r="O9" s="31"/>
      <c r="P9" s="61"/>
      <c r="Q9" s="60"/>
      <c r="R9" s="31"/>
      <c r="S9" s="61"/>
      <c r="T9" s="60"/>
      <c r="U9" s="31"/>
      <c r="V9" s="61"/>
      <c r="W9" s="60"/>
      <c r="X9" s="31"/>
      <c r="Y9" s="61"/>
      <c r="Z9" s="60"/>
      <c r="AA9" s="31"/>
      <c r="AB9" s="61"/>
      <c r="AC9" s="60"/>
      <c r="AD9" s="31"/>
      <c r="AE9" s="61"/>
      <c r="AF9" s="60"/>
      <c r="AG9" s="31"/>
      <c r="AH9" s="61"/>
      <c r="AI9" s="60"/>
      <c r="AJ9" s="31"/>
      <c r="AK9" s="61"/>
      <c r="AL9" s="60"/>
      <c r="AM9" s="31"/>
      <c r="AN9" s="61"/>
      <c r="AO9" s="60"/>
      <c r="AP9" s="31"/>
      <c r="AQ9" s="61"/>
    </row>
    <row r="10" ht="30.75" customHeight="1">
      <c r="A10" s="62"/>
      <c r="B10" s="166" t="str">
        <f>VLOOKUP(C10,[1]Saldo!A9:B31282,2,0)</f>
        <v>#ERROR!</v>
      </c>
      <c r="C10" s="166" t="s">
        <v>997</v>
      </c>
      <c r="D10" s="166" t="s">
        <v>998</v>
      </c>
      <c r="E10" s="169">
        <v>1.0</v>
      </c>
      <c r="F10" s="166">
        <v>6000.0</v>
      </c>
      <c r="G10" s="167">
        <f>'PAINEL DE CONTROLE'!$G$6</f>
        <v>29646</v>
      </c>
      <c r="H10" s="168">
        <v>25839.0</v>
      </c>
      <c r="I10" s="166">
        <f t="shared" si="1"/>
        <v>31839</v>
      </c>
      <c r="J10" s="167">
        <f t="shared" si="2"/>
        <v>2193</v>
      </c>
      <c r="K10" s="60"/>
      <c r="L10" s="31"/>
      <c r="M10" s="61"/>
      <c r="N10" s="60"/>
      <c r="O10" s="31"/>
      <c r="P10" s="61"/>
      <c r="Q10" s="60"/>
      <c r="R10" s="31"/>
      <c r="S10" s="61"/>
      <c r="T10" s="60"/>
      <c r="U10" s="31"/>
      <c r="V10" s="61"/>
      <c r="W10" s="60"/>
      <c r="X10" s="31"/>
      <c r="Y10" s="61"/>
      <c r="Z10" s="60"/>
      <c r="AA10" s="31"/>
      <c r="AB10" s="61"/>
      <c r="AC10" s="60"/>
      <c r="AD10" s="31"/>
      <c r="AE10" s="61"/>
      <c r="AF10" s="60"/>
      <c r="AG10" s="31"/>
      <c r="AH10" s="61"/>
      <c r="AI10" s="60"/>
      <c r="AJ10" s="31"/>
      <c r="AK10" s="61"/>
      <c r="AL10" s="60"/>
      <c r="AM10" s="31"/>
      <c r="AN10" s="61"/>
      <c r="AO10" s="60"/>
      <c r="AP10" s="31"/>
      <c r="AQ10" s="61"/>
    </row>
    <row r="11" ht="30.75" customHeight="1">
      <c r="A11" s="62"/>
      <c r="B11" s="166" t="str">
        <f>VLOOKUP(C11,[1]Saldo!A10:B31283,2,0)</f>
        <v>#ERROR!</v>
      </c>
      <c r="C11" s="166" t="s">
        <v>999</v>
      </c>
      <c r="D11" s="166" t="s">
        <v>1000</v>
      </c>
      <c r="E11" s="169">
        <v>1.0</v>
      </c>
      <c r="F11" s="166">
        <v>6000.0</v>
      </c>
      <c r="G11" s="167">
        <f>'PAINEL DE CONTROLE'!$G$6</f>
        <v>29646</v>
      </c>
      <c r="H11" s="168">
        <v>25839.0</v>
      </c>
      <c r="I11" s="166">
        <f t="shared" si="1"/>
        <v>31839</v>
      </c>
      <c r="J11" s="167">
        <f t="shared" si="2"/>
        <v>2193</v>
      </c>
      <c r="K11" s="60"/>
      <c r="L11" s="31"/>
      <c r="M11" s="61"/>
      <c r="N11" s="60"/>
      <c r="O11" s="31"/>
      <c r="P11" s="61"/>
      <c r="Q11" s="60"/>
      <c r="R11" s="31"/>
      <c r="S11" s="61"/>
      <c r="T11" s="60"/>
      <c r="U11" s="31"/>
      <c r="V11" s="61"/>
      <c r="W11" s="60"/>
      <c r="X11" s="31"/>
      <c r="Y11" s="61"/>
      <c r="Z11" s="60"/>
      <c r="AA11" s="31"/>
      <c r="AB11" s="61"/>
      <c r="AC11" s="60"/>
      <c r="AD11" s="31"/>
      <c r="AE11" s="61"/>
      <c r="AF11" s="60"/>
      <c r="AG11" s="31"/>
      <c r="AH11" s="61"/>
      <c r="AI11" s="60"/>
      <c r="AJ11" s="31"/>
      <c r="AK11" s="61"/>
      <c r="AL11" s="60"/>
      <c r="AM11" s="31"/>
      <c r="AN11" s="61"/>
      <c r="AO11" s="60"/>
      <c r="AP11" s="31"/>
      <c r="AQ11" s="61"/>
    </row>
    <row r="12" ht="30.75" customHeight="1">
      <c r="A12" s="62"/>
      <c r="B12" s="166" t="str">
        <f>VLOOKUP(C12,[1]Saldo!A11:B31284,2,0)</f>
        <v>#ERROR!</v>
      </c>
      <c r="C12" s="166" t="s">
        <v>1001</v>
      </c>
      <c r="D12" s="166" t="s">
        <v>634</v>
      </c>
      <c r="E12" s="169">
        <v>1.0</v>
      </c>
      <c r="F12" s="166">
        <v>6000.0</v>
      </c>
      <c r="G12" s="167">
        <f>'PAINEL DE CONTROLE'!$G$6</f>
        <v>29646</v>
      </c>
      <c r="H12" s="168">
        <v>25839.0</v>
      </c>
      <c r="I12" s="166">
        <f t="shared" si="1"/>
        <v>31839</v>
      </c>
      <c r="J12" s="167">
        <f t="shared" si="2"/>
        <v>2193</v>
      </c>
      <c r="K12" s="60"/>
      <c r="L12" s="31"/>
      <c r="M12" s="61"/>
      <c r="N12" s="60"/>
      <c r="O12" s="31"/>
      <c r="P12" s="61"/>
      <c r="Q12" s="60"/>
      <c r="R12" s="31"/>
      <c r="S12" s="61"/>
      <c r="T12" s="60"/>
      <c r="U12" s="31"/>
      <c r="V12" s="61"/>
      <c r="W12" s="60"/>
      <c r="X12" s="31"/>
      <c r="Y12" s="61"/>
      <c r="Z12" s="60"/>
      <c r="AA12" s="31"/>
      <c r="AB12" s="61"/>
      <c r="AC12" s="60"/>
      <c r="AD12" s="31"/>
      <c r="AE12" s="61"/>
      <c r="AF12" s="60"/>
      <c r="AG12" s="31"/>
      <c r="AH12" s="61"/>
      <c r="AI12" s="60"/>
      <c r="AJ12" s="31"/>
      <c r="AK12" s="61"/>
      <c r="AL12" s="60"/>
      <c r="AM12" s="31"/>
      <c r="AN12" s="61"/>
      <c r="AO12" s="60"/>
      <c r="AP12" s="31"/>
      <c r="AQ12" s="61"/>
    </row>
    <row r="13" ht="30.75" customHeight="1">
      <c r="A13" s="62"/>
      <c r="B13" s="166" t="str">
        <f>VLOOKUP(C13,[1]Saldo!A12:B31285,2,0)</f>
        <v>#ERROR!</v>
      </c>
      <c r="C13" s="166" t="s">
        <v>1002</v>
      </c>
      <c r="D13" s="166" t="s">
        <v>1003</v>
      </c>
      <c r="E13" s="169">
        <v>5.0</v>
      </c>
      <c r="F13" s="166">
        <v>6000.0</v>
      </c>
      <c r="G13" s="167">
        <f>'PAINEL DE CONTROLE'!$G$6</f>
        <v>29646</v>
      </c>
      <c r="H13" s="168">
        <v>25839.0</v>
      </c>
      <c r="I13" s="166">
        <f t="shared" si="1"/>
        <v>31839</v>
      </c>
      <c r="J13" s="167">
        <f t="shared" si="2"/>
        <v>2193</v>
      </c>
      <c r="K13" s="60"/>
      <c r="L13" s="31"/>
      <c r="M13" s="61"/>
      <c r="N13" s="60"/>
      <c r="O13" s="31"/>
      <c r="P13" s="61"/>
      <c r="Q13" s="60"/>
      <c r="R13" s="31"/>
      <c r="S13" s="61"/>
      <c r="T13" s="60"/>
      <c r="U13" s="31"/>
      <c r="V13" s="61"/>
      <c r="W13" s="60"/>
      <c r="X13" s="31"/>
      <c r="Y13" s="61"/>
      <c r="Z13" s="60"/>
      <c r="AA13" s="31"/>
      <c r="AB13" s="61"/>
      <c r="AC13" s="60"/>
      <c r="AD13" s="31"/>
      <c r="AE13" s="61"/>
      <c r="AF13" s="60"/>
      <c r="AG13" s="31"/>
      <c r="AH13" s="61"/>
      <c r="AI13" s="60"/>
      <c r="AJ13" s="31"/>
      <c r="AK13" s="61"/>
      <c r="AL13" s="60"/>
      <c r="AM13" s="31"/>
      <c r="AN13" s="61"/>
      <c r="AO13" s="60"/>
      <c r="AP13" s="31"/>
      <c r="AQ13" s="61"/>
    </row>
    <row r="14" ht="30.75" customHeight="1">
      <c r="A14" s="62"/>
      <c r="B14" s="166" t="str">
        <f>VLOOKUP(C14,[1]Saldo!A13:B31286,2,0)</f>
        <v>#ERROR!</v>
      </c>
      <c r="C14" s="166" t="s">
        <v>1004</v>
      </c>
      <c r="D14" s="166" t="s">
        <v>624</v>
      </c>
      <c r="E14" s="169">
        <v>2.0</v>
      </c>
      <c r="F14" s="166">
        <v>6000.0</v>
      </c>
      <c r="G14" s="167">
        <f>'PAINEL DE CONTROLE'!$G$6</f>
        <v>29646</v>
      </c>
      <c r="H14" s="168">
        <v>25839.0</v>
      </c>
      <c r="I14" s="166">
        <f t="shared" si="1"/>
        <v>31839</v>
      </c>
      <c r="J14" s="167">
        <f t="shared" si="2"/>
        <v>2193</v>
      </c>
      <c r="K14" s="60"/>
      <c r="L14" s="31"/>
      <c r="M14" s="61"/>
      <c r="N14" s="60"/>
      <c r="O14" s="31"/>
      <c r="P14" s="61"/>
      <c r="Q14" s="60"/>
      <c r="R14" s="31"/>
      <c r="S14" s="61"/>
      <c r="T14" s="60"/>
      <c r="U14" s="31"/>
      <c r="V14" s="61"/>
      <c r="W14" s="60"/>
      <c r="X14" s="31"/>
      <c r="Y14" s="61"/>
      <c r="Z14" s="60"/>
      <c r="AA14" s="31"/>
      <c r="AB14" s="61"/>
      <c r="AC14" s="60"/>
      <c r="AD14" s="31"/>
      <c r="AE14" s="61"/>
      <c r="AF14" s="60"/>
      <c r="AG14" s="31"/>
      <c r="AH14" s="61"/>
      <c r="AI14" s="60"/>
      <c r="AJ14" s="31"/>
      <c r="AK14" s="61"/>
      <c r="AL14" s="60"/>
      <c r="AM14" s="31"/>
      <c r="AN14" s="61"/>
      <c r="AO14" s="60"/>
      <c r="AP14" s="31"/>
      <c r="AQ14" s="61"/>
    </row>
    <row r="15" ht="30.75" customHeight="1">
      <c r="A15" s="62"/>
      <c r="B15" s="166" t="str">
        <f>VLOOKUP(C15,[1]Saldo!A14:B31287,2,0)</f>
        <v>#ERROR!</v>
      </c>
      <c r="C15" s="166" t="s">
        <v>1005</v>
      </c>
      <c r="D15" s="166" t="s">
        <v>634</v>
      </c>
      <c r="E15" s="169">
        <v>1.0</v>
      </c>
      <c r="F15" s="166">
        <v>6000.0</v>
      </c>
      <c r="G15" s="167">
        <f>'PAINEL DE CONTROLE'!$G$6</f>
        <v>29646</v>
      </c>
      <c r="H15" s="168">
        <v>25839.0</v>
      </c>
      <c r="I15" s="166">
        <f t="shared" si="1"/>
        <v>31839</v>
      </c>
      <c r="J15" s="167">
        <f t="shared" si="2"/>
        <v>2193</v>
      </c>
      <c r="K15" s="60"/>
      <c r="L15" s="31"/>
      <c r="M15" s="61"/>
      <c r="N15" s="60"/>
      <c r="O15" s="31"/>
      <c r="P15" s="61"/>
      <c r="Q15" s="60"/>
      <c r="R15" s="31"/>
      <c r="S15" s="61"/>
      <c r="T15" s="60"/>
      <c r="U15" s="31"/>
      <c r="V15" s="61"/>
      <c r="W15" s="60"/>
      <c r="X15" s="31"/>
      <c r="Y15" s="61"/>
      <c r="Z15" s="60"/>
      <c r="AA15" s="31"/>
      <c r="AB15" s="61"/>
      <c r="AC15" s="60"/>
      <c r="AD15" s="31"/>
      <c r="AE15" s="61"/>
      <c r="AF15" s="60"/>
      <c r="AG15" s="31"/>
      <c r="AH15" s="61"/>
      <c r="AI15" s="60"/>
      <c r="AJ15" s="31"/>
      <c r="AK15" s="61"/>
      <c r="AL15" s="60"/>
      <c r="AM15" s="31"/>
      <c r="AN15" s="61"/>
      <c r="AO15" s="60"/>
      <c r="AP15" s="31"/>
      <c r="AQ15" s="61"/>
    </row>
    <row r="16" ht="30.75" customHeight="1">
      <c r="A16" s="62"/>
      <c r="B16" s="166" t="str">
        <f>VLOOKUP(C16,[1]Saldo!A15:B31288,2,0)</f>
        <v>#ERROR!</v>
      </c>
      <c r="C16" s="166" t="s">
        <v>1006</v>
      </c>
      <c r="D16" s="166" t="s">
        <v>990</v>
      </c>
      <c r="E16" s="169">
        <v>10.0</v>
      </c>
      <c r="F16" s="166">
        <v>6000.0</v>
      </c>
      <c r="G16" s="167">
        <f>'PAINEL DE CONTROLE'!$G$6</f>
        <v>29646</v>
      </c>
      <c r="H16" s="168">
        <v>25839.0</v>
      </c>
      <c r="I16" s="166">
        <f t="shared" si="1"/>
        <v>31839</v>
      </c>
      <c r="J16" s="167">
        <f t="shared" si="2"/>
        <v>2193</v>
      </c>
      <c r="K16" s="60"/>
      <c r="L16" s="31"/>
      <c r="M16" s="61"/>
      <c r="N16" s="60"/>
      <c r="O16" s="31"/>
      <c r="P16" s="61"/>
      <c r="Q16" s="60"/>
      <c r="R16" s="31"/>
      <c r="S16" s="61"/>
      <c r="T16" s="60"/>
      <c r="U16" s="31"/>
      <c r="V16" s="61"/>
      <c r="W16" s="60"/>
      <c r="X16" s="31"/>
      <c r="Y16" s="61"/>
      <c r="Z16" s="60"/>
      <c r="AA16" s="31"/>
      <c r="AB16" s="61"/>
      <c r="AC16" s="60"/>
      <c r="AD16" s="31"/>
      <c r="AE16" s="61"/>
      <c r="AF16" s="60"/>
      <c r="AG16" s="31"/>
      <c r="AH16" s="61"/>
      <c r="AI16" s="60"/>
      <c r="AJ16" s="31"/>
      <c r="AK16" s="61"/>
      <c r="AL16" s="60"/>
      <c r="AM16" s="31"/>
      <c r="AN16" s="61"/>
      <c r="AO16" s="60"/>
      <c r="AP16" s="31"/>
      <c r="AQ16" s="61"/>
    </row>
    <row r="17" ht="30.75" customHeight="1">
      <c r="A17" s="62"/>
      <c r="B17" s="166" t="str">
        <f>VLOOKUP(C17,[1]Saldo!A16:B31289,2,0)</f>
        <v>#ERROR!</v>
      </c>
      <c r="C17" s="166" t="s">
        <v>1007</v>
      </c>
      <c r="D17" s="166" t="s">
        <v>1008</v>
      </c>
      <c r="E17" s="169">
        <v>1.0</v>
      </c>
      <c r="F17" s="166">
        <v>6000.0</v>
      </c>
      <c r="G17" s="167">
        <f>'PAINEL DE CONTROLE'!$G$6</f>
        <v>29646</v>
      </c>
      <c r="H17" s="168">
        <v>25839.0</v>
      </c>
      <c r="I17" s="166">
        <f t="shared" si="1"/>
        <v>31839</v>
      </c>
      <c r="J17" s="167">
        <f t="shared" si="2"/>
        <v>2193</v>
      </c>
      <c r="K17" s="60"/>
      <c r="L17" s="31"/>
      <c r="M17" s="61"/>
      <c r="N17" s="60"/>
      <c r="O17" s="31"/>
      <c r="P17" s="61"/>
      <c r="Q17" s="60"/>
      <c r="R17" s="31"/>
      <c r="S17" s="61"/>
      <c r="T17" s="60"/>
      <c r="U17" s="31"/>
      <c r="V17" s="61"/>
      <c r="W17" s="60"/>
      <c r="X17" s="31"/>
      <c r="Y17" s="61"/>
      <c r="Z17" s="60"/>
      <c r="AA17" s="31"/>
      <c r="AB17" s="61"/>
      <c r="AC17" s="60"/>
      <c r="AD17" s="31"/>
      <c r="AE17" s="61"/>
      <c r="AF17" s="60"/>
      <c r="AG17" s="31"/>
      <c r="AH17" s="61"/>
      <c r="AI17" s="60"/>
      <c r="AJ17" s="31"/>
      <c r="AK17" s="61"/>
      <c r="AL17" s="60"/>
      <c r="AM17" s="31"/>
      <c r="AN17" s="61"/>
      <c r="AO17" s="60"/>
      <c r="AP17" s="31"/>
      <c r="AQ17" s="61"/>
    </row>
    <row r="18" ht="30.75" customHeight="1">
      <c r="A18" s="63"/>
      <c r="B18" s="166" t="str">
        <f>VLOOKUP(C18,[1]Saldo!A17:B31290,2,0)</f>
        <v>#ERROR!</v>
      </c>
      <c r="C18" s="166" t="s">
        <v>1009</v>
      </c>
      <c r="D18" s="166" t="s">
        <v>1010</v>
      </c>
      <c r="E18" s="169">
        <v>3.0</v>
      </c>
      <c r="F18" s="166">
        <v>6000.0</v>
      </c>
      <c r="G18" s="167">
        <f>'PAINEL DE CONTROLE'!$G$6</f>
        <v>29646</v>
      </c>
      <c r="H18" s="168">
        <v>25839.0</v>
      </c>
      <c r="I18" s="166">
        <f t="shared" si="1"/>
        <v>31839</v>
      </c>
      <c r="J18" s="167">
        <f t="shared" si="2"/>
        <v>2193</v>
      </c>
      <c r="K18" s="107"/>
      <c r="L18" s="108"/>
      <c r="M18" s="109"/>
      <c r="N18" s="107"/>
      <c r="O18" s="108"/>
      <c r="P18" s="109"/>
      <c r="Q18" s="107"/>
      <c r="R18" s="108"/>
      <c r="S18" s="109"/>
      <c r="T18" s="107"/>
      <c r="U18" s="108"/>
      <c r="V18" s="109"/>
      <c r="W18" s="107"/>
      <c r="X18" s="108"/>
      <c r="Y18" s="109"/>
      <c r="Z18" s="107"/>
      <c r="AA18" s="108"/>
      <c r="AB18" s="109"/>
      <c r="AC18" s="107"/>
      <c r="AD18" s="108"/>
      <c r="AE18" s="109"/>
      <c r="AF18" s="107"/>
      <c r="AG18" s="108"/>
      <c r="AH18" s="109"/>
      <c r="AI18" s="107"/>
      <c r="AJ18" s="108"/>
      <c r="AK18" s="109"/>
      <c r="AL18" s="107"/>
      <c r="AM18" s="108"/>
      <c r="AN18" s="109"/>
      <c r="AO18" s="107"/>
      <c r="AP18" s="108"/>
      <c r="AQ18" s="10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3:A18"/>
  </mergeCells>
  <conditionalFormatting sqref="J2">
    <cfRule type="cellIs" dxfId="7" priority="1" operator="lessThan">
      <formula>500</formula>
    </cfRule>
  </conditionalFormatting>
  <conditionalFormatting sqref="J3:J18">
    <cfRule type="cellIs" dxfId="3" priority="2" operator="lessThan">
      <formula>0</formula>
    </cfRule>
  </conditionalFormatting>
  <conditionalFormatting sqref="J3:J18">
    <cfRule type="cellIs" dxfId="10" priority="3" operator="between">
      <formula>0</formula>
      <formula>720</formula>
    </cfRule>
  </conditionalFormatting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71"/>
    <col customWidth="1" min="2" max="2" width="23.57"/>
    <col customWidth="1" min="3" max="3" width="30.29"/>
    <col customWidth="1" min="4" max="4" width="53.86"/>
    <col customWidth="1" min="5" max="5" width="10.86"/>
    <col customWidth="1" min="6" max="6" width="17.71"/>
    <col customWidth="1" min="7" max="7" width="13.0"/>
    <col customWidth="1" min="8" max="8" width="17.29"/>
    <col customWidth="1" min="9" max="9" width="17.0"/>
    <col customWidth="1" min="10" max="10" width="17.71"/>
    <col customWidth="1" min="11" max="11" width="20.43"/>
    <col customWidth="1" min="12" max="12" width="54.57"/>
    <col customWidth="1" min="13" max="14" width="20.43"/>
    <col customWidth="1" min="15" max="15" width="54.57"/>
    <col customWidth="1" min="16" max="17" width="20.43"/>
    <col customWidth="1" min="18" max="18" width="54.57"/>
    <col customWidth="1" min="19" max="20" width="20.43"/>
    <col customWidth="1" min="21" max="21" width="54.57"/>
    <col customWidth="1" min="22" max="23" width="20.43"/>
    <col customWidth="1" min="24" max="24" width="54.57"/>
    <col customWidth="1" min="25" max="26" width="20.43"/>
    <col customWidth="1" min="27" max="27" width="54.57"/>
    <col customWidth="1" min="28" max="29" width="20.43"/>
    <col customWidth="1" min="30" max="30" width="54.57"/>
    <col customWidth="1" min="31" max="32" width="20.43"/>
    <col customWidth="1" min="33" max="33" width="54.57"/>
    <col customWidth="1" min="34" max="35" width="20.43"/>
    <col customWidth="1" min="36" max="36" width="54.57"/>
    <col customWidth="1" min="37" max="38" width="20.43"/>
    <col customWidth="1" min="39" max="39" width="54.57"/>
    <col customWidth="1" min="40" max="41" width="20.43"/>
    <col customWidth="1" min="42" max="42" width="54.57"/>
    <col customWidth="1" min="43" max="44" width="20.43"/>
    <col customWidth="1" min="45" max="45" width="54.57"/>
    <col customWidth="1" min="46" max="46" width="20.43"/>
  </cols>
  <sheetData>
    <row r="1" ht="39.75" customHeight="1">
      <c r="A1" s="171" t="s">
        <v>1011</v>
      </c>
      <c r="B1" s="2"/>
      <c r="C1" s="2"/>
      <c r="D1" s="2"/>
      <c r="E1" s="2"/>
      <c r="F1" s="2"/>
      <c r="G1" s="2"/>
      <c r="H1" s="2"/>
      <c r="I1" s="2"/>
      <c r="J1" s="3"/>
      <c r="K1" s="139"/>
      <c r="L1" s="140"/>
      <c r="M1" s="141"/>
      <c r="N1" s="139"/>
      <c r="O1" s="140"/>
      <c r="P1" s="141"/>
      <c r="Q1" s="139"/>
      <c r="R1" s="140"/>
      <c r="S1" s="141"/>
      <c r="T1" s="139"/>
      <c r="U1" s="140"/>
      <c r="V1" s="141"/>
      <c r="W1" s="139"/>
      <c r="X1" s="140"/>
      <c r="Y1" s="141"/>
      <c r="Z1" s="139"/>
      <c r="AA1" s="140"/>
      <c r="AB1" s="141"/>
      <c r="AC1" s="139"/>
      <c r="AD1" s="140"/>
      <c r="AE1" s="141"/>
      <c r="AF1" s="139"/>
      <c r="AG1" s="140"/>
      <c r="AH1" s="141"/>
      <c r="AI1" s="139"/>
      <c r="AJ1" s="140"/>
      <c r="AK1" s="141"/>
      <c r="AL1" s="139"/>
      <c r="AM1" s="140"/>
      <c r="AN1" s="141"/>
      <c r="AO1" s="139"/>
      <c r="AP1" s="140"/>
      <c r="AQ1" s="141"/>
      <c r="AR1" s="139"/>
      <c r="AS1" s="140"/>
      <c r="AT1" s="141"/>
    </row>
    <row r="2" ht="39.75" customHeight="1">
      <c r="A2" s="163" t="s">
        <v>96</v>
      </c>
      <c r="B2" s="172" t="s">
        <v>98</v>
      </c>
      <c r="C2" s="163" t="s">
        <v>99</v>
      </c>
      <c r="D2" s="163" t="s">
        <v>100</v>
      </c>
      <c r="E2" s="164" t="s">
        <v>101</v>
      </c>
      <c r="F2" s="163" t="s">
        <v>102</v>
      </c>
      <c r="G2" s="163" t="s">
        <v>103</v>
      </c>
      <c r="H2" s="163" t="s">
        <v>104</v>
      </c>
      <c r="I2" s="163" t="s">
        <v>105</v>
      </c>
      <c r="J2" s="163" t="s">
        <v>106</v>
      </c>
      <c r="K2" s="47" t="s">
        <v>107</v>
      </c>
      <c r="L2" s="45" t="s">
        <v>108</v>
      </c>
      <c r="M2" s="126" t="s">
        <v>109</v>
      </c>
      <c r="N2" s="47" t="s">
        <v>107</v>
      </c>
      <c r="O2" s="45" t="s">
        <v>108</v>
      </c>
      <c r="P2" s="126" t="s">
        <v>109</v>
      </c>
      <c r="Q2" s="47" t="s">
        <v>107</v>
      </c>
      <c r="R2" s="45" t="s">
        <v>108</v>
      </c>
      <c r="S2" s="126" t="s">
        <v>109</v>
      </c>
      <c r="T2" s="47" t="s">
        <v>107</v>
      </c>
      <c r="U2" s="45" t="s">
        <v>108</v>
      </c>
      <c r="V2" s="126" t="s">
        <v>109</v>
      </c>
      <c r="W2" s="47" t="s">
        <v>107</v>
      </c>
      <c r="X2" s="45" t="s">
        <v>108</v>
      </c>
      <c r="Y2" s="126" t="s">
        <v>109</v>
      </c>
      <c r="Z2" s="47" t="s">
        <v>107</v>
      </c>
      <c r="AA2" s="45" t="s">
        <v>108</v>
      </c>
      <c r="AB2" s="126" t="s">
        <v>109</v>
      </c>
      <c r="AC2" s="47" t="s">
        <v>107</v>
      </c>
      <c r="AD2" s="45" t="s">
        <v>108</v>
      </c>
      <c r="AE2" s="126" t="s">
        <v>109</v>
      </c>
      <c r="AF2" s="47" t="s">
        <v>107</v>
      </c>
      <c r="AG2" s="45" t="s">
        <v>108</v>
      </c>
      <c r="AH2" s="126" t="s">
        <v>109</v>
      </c>
      <c r="AI2" s="47" t="s">
        <v>107</v>
      </c>
      <c r="AJ2" s="45" t="s">
        <v>108</v>
      </c>
      <c r="AK2" s="126" t="s">
        <v>109</v>
      </c>
      <c r="AL2" s="47" t="s">
        <v>107</v>
      </c>
      <c r="AM2" s="45" t="s">
        <v>108</v>
      </c>
      <c r="AN2" s="126" t="s">
        <v>109</v>
      </c>
      <c r="AO2" s="47" t="s">
        <v>107</v>
      </c>
      <c r="AP2" s="45" t="s">
        <v>108</v>
      </c>
      <c r="AQ2" s="126" t="s">
        <v>109</v>
      </c>
      <c r="AR2" s="47" t="s">
        <v>107</v>
      </c>
      <c r="AS2" s="45" t="s">
        <v>108</v>
      </c>
      <c r="AT2" s="126" t="s">
        <v>109</v>
      </c>
    </row>
    <row r="3" ht="39.75" customHeight="1">
      <c r="A3" s="170" t="s">
        <v>1012</v>
      </c>
      <c r="B3" s="170" t="s">
        <v>1013</v>
      </c>
      <c r="C3" s="170" t="s">
        <v>1014</v>
      </c>
      <c r="D3" s="170" t="s">
        <v>1015</v>
      </c>
      <c r="E3" s="173">
        <v>2.0</v>
      </c>
      <c r="F3" s="170">
        <v>1000.0</v>
      </c>
      <c r="G3" s="174">
        <f>'PAINEL DE CONTROLE'!$G$7</f>
        <v>10727</v>
      </c>
      <c r="H3" s="175">
        <v>7100.0</v>
      </c>
      <c r="I3" s="170">
        <f t="shared" ref="I3:I20" si="1">SUM(H3+F3)</f>
        <v>8100</v>
      </c>
      <c r="J3" s="174">
        <f t="shared" ref="J3:J20" si="2">SUM(I3-G3)</f>
        <v>-2627</v>
      </c>
      <c r="K3" s="60"/>
      <c r="L3" s="31"/>
      <c r="M3" s="61"/>
      <c r="N3" s="60"/>
      <c r="O3" s="31"/>
      <c r="P3" s="61"/>
      <c r="Q3" s="60"/>
      <c r="R3" s="31"/>
      <c r="S3" s="61"/>
      <c r="T3" s="60"/>
      <c r="U3" s="31"/>
      <c r="V3" s="61"/>
      <c r="W3" s="60"/>
      <c r="X3" s="31"/>
      <c r="Y3" s="61"/>
      <c r="Z3" s="60"/>
      <c r="AA3" s="31"/>
      <c r="AB3" s="61"/>
      <c r="AC3" s="60"/>
      <c r="AD3" s="31"/>
      <c r="AE3" s="61"/>
      <c r="AF3" s="60"/>
      <c r="AG3" s="31"/>
      <c r="AH3" s="61"/>
      <c r="AI3" s="60"/>
      <c r="AJ3" s="31"/>
      <c r="AK3" s="61"/>
      <c r="AL3" s="60"/>
      <c r="AM3" s="31"/>
      <c r="AN3" s="61"/>
      <c r="AO3" s="60"/>
      <c r="AP3" s="31"/>
      <c r="AQ3" s="61"/>
      <c r="AR3" s="60"/>
      <c r="AS3" s="31"/>
      <c r="AT3" s="61"/>
    </row>
    <row r="4" ht="39.75" customHeight="1">
      <c r="A4" s="170"/>
      <c r="B4" s="176" t="s">
        <v>1016</v>
      </c>
      <c r="C4" s="2"/>
      <c r="D4" s="3"/>
      <c r="E4" s="173" t="s">
        <v>113</v>
      </c>
      <c r="F4" s="170">
        <v>500.0</v>
      </c>
      <c r="G4" s="174">
        <f>'PAINEL DE CONTROLE'!$G$7</f>
        <v>10727</v>
      </c>
      <c r="H4" s="175">
        <v>7100.0</v>
      </c>
      <c r="I4" s="170">
        <f t="shared" si="1"/>
        <v>7600</v>
      </c>
      <c r="J4" s="174">
        <f t="shared" si="2"/>
        <v>-3127</v>
      </c>
      <c r="K4" s="60"/>
      <c r="L4" s="31"/>
      <c r="M4" s="61"/>
      <c r="N4" s="60"/>
      <c r="O4" s="31"/>
      <c r="P4" s="61"/>
      <c r="Q4" s="60"/>
      <c r="R4" s="31"/>
      <c r="S4" s="61"/>
      <c r="T4" s="60"/>
      <c r="U4" s="31"/>
      <c r="V4" s="61"/>
      <c r="W4" s="60"/>
      <c r="X4" s="31"/>
      <c r="Y4" s="61"/>
      <c r="Z4" s="60"/>
      <c r="AA4" s="31"/>
      <c r="AB4" s="61"/>
      <c r="AC4" s="60"/>
      <c r="AD4" s="31"/>
      <c r="AE4" s="61"/>
      <c r="AF4" s="60"/>
      <c r="AG4" s="31"/>
      <c r="AH4" s="61"/>
      <c r="AI4" s="60"/>
      <c r="AJ4" s="31"/>
      <c r="AK4" s="61"/>
      <c r="AL4" s="60"/>
      <c r="AM4" s="31"/>
      <c r="AN4" s="61"/>
      <c r="AO4" s="60"/>
      <c r="AP4" s="31"/>
      <c r="AQ4" s="61"/>
      <c r="AR4" s="60"/>
      <c r="AS4" s="31"/>
      <c r="AT4" s="61"/>
    </row>
    <row r="5" ht="39.75" customHeight="1">
      <c r="A5" s="177" t="s">
        <v>1017</v>
      </c>
      <c r="B5" s="170" t="s">
        <v>1018</v>
      </c>
      <c r="C5" s="170" t="s">
        <v>1019</v>
      </c>
      <c r="D5" s="170" t="s">
        <v>624</v>
      </c>
      <c r="E5" s="170">
        <v>2.0</v>
      </c>
      <c r="F5" s="170">
        <v>2000.0</v>
      </c>
      <c r="G5" s="174">
        <f>'PAINEL DE CONTROLE'!$G$7</f>
        <v>10727</v>
      </c>
      <c r="H5" s="175">
        <v>7100.0</v>
      </c>
      <c r="I5" s="170">
        <f t="shared" si="1"/>
        <v>9100</v>
      </c>
      <c r="J5" s="174">
        <f t="shared" si="2"/>
        <v>-1627</v>
      </c>
      <c r="K5" s="60"/>
      <c r="L5" s="31"/>
      <c r="M5" s="61"/>
      <c r="N5" s="60"/>
      <c r="O5" s="31"/>
      <c r="P5" s="61"/>
      <c r="Q5" s="60"/>
      <c r="R5" s="31"/>
      <c r="S5" s="61"/>
      <c r="T5" s="60"/>
      <c r="U5" s="31"/>
      <c r="V5" s="61"/>
      <c r="W5" s="60"/>
      <c r="X5" s="31"/>
      <c r="Y5" s="61"/>
      <c r="Z5" s="60"/>
      <c r="AA5" s="31"/>
      <c r="AB5" s="61"/>
      <c r="AC5" s="60"/>
      <c r="AD5" s="31"/>
      <c r="AE5" s="61"/>
      <c r="AF5" s="60"/>
      <c r="AG5" s="31"/>
      <c r="AH5" s="61"/>
      <c r="AI5" s="60"/>
      <c r="AJ5" s="31"/>
      <c r="AK5" s="61"/>
      <c r="AL5" s="60"/>
      <c r="AM5" s="31"/>
      <c r="AN5" s="61"/>
      <c r="AO5" s="60"/>
      <c r="AP5" s="31"/>
      <c r="AQ5" s="61"/>
      <c r="AR5" s="60"/>
      <c r="AS5" s="31"/>
      <c r="AT5" s="61"/>
    </row>
    <row r="6" ht="39.75" customHeight="1">
      <c r="A6" s="62"/>
      <c r="B6" s="170" t="s">
        <v>1020</v>
      </c>
      <c r="C6" s="170" t="s">
        <v>820</v>
      </c>
      <c r="D6" s="170" t="s">
        <v>990</v>
      </c>
      <c r="E6" s="170">
        <v>4.0</v>
      </c>
      <c r="F6" s="170">
        <v>2000.0</v>
      </c>
      <c r="G6" s="174">
        <f>'PAINEL DE CONTROLE'!$G$7</f>
        <v>10727</v>
      </c>
      <c r="H6" s="175">
        <v>7100.0</v>
      </c>
      <c r="I6" s="174">
        <f t="shared" si="1"/>
        <v>9100</v>
      </c>
      <c r="J6" s="174">
        <f t="shared" si="2"/>
        <v>-1627</v>
      </c>
      <c r="K6" s="60"/>
      <c r="L6" s="31"/>
      <c r="M6" s="61"/>
      <c r="N6" s="60"/>
      <c r="O6" s="31"/>
      <c r="P6" s="61"/>
      <c r="Q6" s="60"/>
      <c r="R6" s="31"/>
      <c r="S6" s="61"/>
      <c r="T6" s="60"/>
      <c r="U6" s="31"/>
      <c r="V6" s="61"/>
      <c r="W6" s="60"/>
      <c r="X6" s="31"/>
      <c r="Y6" s="61"/>
      <c r="Z6" s="60"/>
      <c r="AA6" s="31"/>
      <c r="AB6" s="61"/>
      <c r="AC6" s="60"/>
      <c r="AD6" s="31"/>
      <c r="AE6" s="61"/>
      <c r="AF6" s="60"/>
      <c r="AG6" s="31"/>
      <c r="AH6" s="61"/>
      <c r="AI6" s="60"/>
      <c r="AJ6" s="31"/>
      <c r="AK6" s="61"/>
      <c r="AL6" s="60"/>
      <c r="AM6" s="31"/>
      <c r="AN6" s="61"/>
      <c r="AO6" s="60"/>
      <c r="AP6" s="31"/>
      <c r="AQ6" s="61"/>
      <c r="AR6" s="60"/>
      <c r="AS6" s="31"/>
      <c r="AT6" s="61"/>
    </row>
    <row r="7" ht="39.75" customHeight="1">
      <c r="A7" s="62"/>
      <c r="B7" s="170" t="s">
        <v>1021</v>
      </c>
      <c r="C7" s="170" t="s">
        <v>1022</v>
      </c>
      <c r="D7" s="170" t="s">
        <v>1023</v>
      </c>
      <c r="E7" s="173">
        <v>10.0</v>
      </c>
      <c r="F7" s="170">
        <v>2000.0</v>
      </c>
      <c r="G7" s="174">
        <f>'PAINEL DE CONTROLE'!$G$7</f>
        <v>10727</v>
      </c>
      <c r="H7" s="175">
        <v>7100.0</v>
      </c>
      <c r="I7" s="170">
        <f t="shared" si="1"/>
        <v>9100</v>
      </c>
      <c r="J7" s="174">
        <f t="shared" si="2"/>
        <v>-1627</v>
      </c>
      <c r="K7" s="60"/>
      <c r="L7" s="31"/>
      <c r="M7" s="61"/>
      <c r="N7" s="60"/>
      <c r="O7" s="31"/>
      <c r="P7" s="61"/>
      <c r="Q7" s="60"/>
      <c r="R7" s="31"/>
      <c r="S7" s="61"/>
      <c r="T7" s="60"/>
      <c r="U7" s="31"/>
      <c r="V7" s="61"/>
      <c r="W7" s="60"/>
      <c r="X7" s="31"/>
      <c r="Y7" s="61"/>
      <c r="Z7" s="60"/>
      <c r="AA7" s="31"/>
      <c r="AB7" s="61"/>
      <c r="AC7" s="60"/>
      <c r="AD7" s="31"/>
      <c r="AE7" s="61"/>
      <c r="AF7" s="60"/>
      <c r="AG7" s="31"/>
      <c r="AH7" s="61"/>
      <c r="AI7" s="60"/>
      <c r="AJ7" s="31"/>
      <c r="AK7" s="61"/>
      <c r="AL7" s="60"/>
      <c r="AM7" s="31"/>
      <c r="AN7" s="61"/>
      <c r="AO7" s="60"/>
      <c r="AP7" s="31"/>
      <c r="AQ7" s="61"/>
      <c r="AR7" s="60"/>
      <c r="AS7" s="31"/>
      <c r="AT7" s="61"/>
    </row>
    <row r="8" ht="39.75" customHeight="1">
      <c r="A8" s="62"/>
      <c r="B8" s="170" t="s">
        <v>1024</v>
      </c>
      <c r="C8" s="170" t="s">
        <v>1025</v>
      </c>
      <c r="D8" s="170" t="s">
        <v>624</v>
      </c>
      <c r="E8" s="173">
        <v>2.0</v>
      </c>
      <c r="F8" s="170">
        <v>2000.0</v>
      </c>
      <c r="G8" s="174">
        <f>'PAINEL DE CONTROLE'!$G$7</f>
        <v>10727</v>
      </c>
      <c r="H8" s="175">
        <v>7100.0</v>
      </c>
      <c r="I8" s="170">
        <f t="shared" si="1"/>
        <v>9100</v>
      </c>
      <c r="J8" s="174">
        <f t="shared" si="2"/>
        <v>-1627</v>
      </c>
      <c r="K8" s="60"/>
      <c r="L8" s="31"/>
      <c r="M8" s="61"/>
      <c r="N8" s="60"/>
      <c r="O8" s="31"/>
      <c r="P8" s="61"/>
      <c r="Q8" s="60"/>
      <c r="R8" s="31"/>
      <c r="S8" s="61"/>
      <c r="T8" s="60"/>
      <c r="U8" s="31"/>
      <c r="V8" s="61"/>
      <c r="W8" s="60"/>
      <c r="X8" s="31"/>
      <c r="Y8" s="61"/>
      <c r="Z8" s="60"/>
      <c r="AA8" s="31"/>
      <c r="AB8" s="61"/>
      <c r="AC8" s="60"/>
      <c r="AD8" s="31"/>
      <c r="AE8" s="61"/>
      <c r="AF8" s="60"/>
      <c r="AG8" s="31"/>
      <c r="AH8" s="61"/>
      <c r="AI8" s="60"/>
      <c r="AJ8" s="31"/>
      <c r="AK8" s="61"/>
      <c r="AL8" s="60"/>
      <c r="AM8" s="31"/>
      <c r="AN8" s="61"/>
      <c r="AO8" s="60"/>
      <c r="AP8" s="31"/>
      <c r="AQ8" s="61"/>
      <c r="AR8" s="60"/>
      <c r="AS8" s="31"/>
      <c r="AT8" s="61"/>
    </row>
    <row r="9" ht="39.75" customHeight="1">
      <c r="A9" s="62"/>
      <c r="B9" s="170" t="s">
        <v>1026</v>
      </c>
      <c r="C9" s="170" t="s">
        <v>1027</v>
      </c>
      <c r="D9" s="170" t="s">
        <v>605</v>
      </c>
      <c r="E9" s="173">
        <v>4.0</v>
      </c>
      <c r="F9" s="170">
        <v>2000.0</v>
      </c>
      <c r="G9" s="174">
        <f>'PAINEL DE CONTROLE'!$G$7</f>
        <v>10727</v>
      </c>
      <c r="H9" s="175">
        <v>7100.0</v>
      </c>
      <c r="I9" s="170">
        <f t="shared" si="1"/>
        <v>9100</v>
      </c>
      <c r="J9" s="174">
        <f t="shared" si="2"/>
        <v>-1627</v>
      </c>
      <c r="K9" s="60"/>
      <c r="L9" s="31"/>
      <c r="M9" s="61"/>
      <c r="N9" s="60"/>
      <c r="O9" s="31"/>
      <c r="P9" s="61"/>
      <c r="Q9" s="60"/>
      <c r="R9" s="31"/>
      <c r="S9" s="61"/>
      <c r="T9" s="60"/>
      <c r="U9" s="31"/>
      <c r="V9" s="61"/>
      <c r="W9" s="60"/>
      <c r="X9" s="31"/>
      <c r="Y9" s="61"/>
      <c r="Z9" s="60"/>
      <c r="AA9" s="31"/>
      <c r="AB9" s="61"/>
      <c r="AC9" s="60"/>
      <c r="AD9" s="31"/>
      <c r="AE9" s="61"/>
      <c r="AF9" s="60"/>
      <c r="AG9" s="31"/>
      <c r="AH9" s="61"/>
      <c r="AI9" s="60"/>
      <c r="AJ9" s="31"/>
      <c r="AK9" s="61"/>
      <c r="AL9" s="60"/>
      <c r="AM9" s="31"/>
      <c r="AN9" s="61"/>
      <c r="AO9" s="60"/>
      <c r="AP9" s="31"/>
      <c r="AQ9" s="61"/>
      <c r="AR9" s="60"/>
      <c r="AS9" s="31"/>
      <c r="AT9" s="61"/>
    </row>
    <row r="10" ht="39.75" customHeight="1">
      <c r="A10" s="62"/>
      <c r="B10" s="170" t="s">
        <v>1028</v>
      </c>
      <c r="C10" s="170" t="s">
        <v>1029</v>
      </c>
      <c r="D10" s="170" t="s">
        <v>624</v>
      </c>
      <c r="E10" s="173">
        <v>4.0</v>
      </c>
      <c r="F10" s="170">
        <v>2000.0</v>
      </c>
      <c r="G10" s="174">
        <f>'PAINEL DE CONTROLE'!$G$7</f>
        <v>10727</v>
      </c>
      <c r="H10" s="175">
        <v>7100.0</v>
      </c>
      <c r="I10" s="170">
        <f t="shared" si="1"/>
        <v>9100</v>
      </c>
      <c r="J10" s="174">
        <f t="shared" si="2"/>
        <v>-1627</v>
      </c>
      <c r="K10" s="60"/>
      <c r="L10" s="31"/>
      <c r="M10" s="61"/>
      <c r="N10" s="60"/>
      <c r="O10" s="31"/>
      <c r="P10" s="61"/>
      <c r="Q10" s="60"/>
      <c r="R10" s="31"/>
      <c r="S10" s="61"/>
      <c r="T10" s="60"/>
      <c r="U10" s="31"/>
      <c r="V10" s="61"/>
      <c r="W10" s="60"/>
      <c r="X10" s="31"/>
      <c r="Y10" s="61"/>
      <c r="Z10" s="60"/>
      <c r="AA10" s="31"/>
      <c r="AB10" s="61"/>
      <c r="AC10" s="60"/>
      <c r="AD10" s="31"/>
      <c r="AE10" s="61"/>
      <c r="AF10" s="60"/>
      <c r="AG10" s="31"/>
      <c r="AH10" s="61"/>
      <c r="AI10" s="60"/>
      <c r="AJ10" s="31"/>
      <c r="AK10" s="61"/>
      <c r="AL10" s="60"/>
      <c r="AM10" s="31"/>
      <c r="AN10" s="61"/>
      <c r="AO10" s="60"/>
      <c r="AP10" s="31"/>
      <c r="AQ10" s="61"/>
      <c r="AR10" s="60"/>
      <c r="AS10" s="31"/>
      <c r="AT10" s="61"/>
    </row>
    <row r="11" ht="39.75" customHeight="1">
      <c r="A11" s="62"/>
      <c r="B11" s="170" t="s">
        <v>1030</v>
      </c>
      <c r="C11" s="170" t="s">
        <v>1031</v>
      </c>
      <c r="D11" s="170" t="s">
        <v>624</v>
      </c>
      <c r="E11" s="173">
        <v>8.0</v>
      </c>
      <c r="F11" s="170">
        <v>2000.0</v>
      </c>
      <c r="G11" s="174">
        <f>'PAINEL DE CONTROLE'!$G$7</f>
        <v>10727</v>
      </c>
      <c r="H11" s="175">
        <v>7100.0</v>
      </c>
      <c r="I11" s="170">
        <f t="shared" si="1"/>
        <v>9100</v>
      </c>
      <c r="J11" s="174">
        <f t="shared" si="2"/>
        <v>-1627</v>
      </c>
      <c r="K11" s="60"/>
      <c r="L11" s="31"/>
      <c r="M11" s="61"/>
      <c r="N11" s="60"/>
      <c r="O11" s="31"/>
      <c r="P11" s="61"/>
      <c r="Q11" s="60"/>
      <c r="R11" s="31"/>
      <c r="S11" s="61"/>
      <c r="T11" s="60"/>
      <c r="U11" s="31"/>
      <c r="V11" s="61"/>
      <c r="W11" s="60"/>
      <c r="X11" s="31"/>
      <c r="Y11" s="61"/>
      <c r="Z11" s="60"/>
      <c r="AA11" s="31"/>
      <c r="AB11" s="61"/>
      <c r="AC11" s="60"/>
      <c r="AD11" s="31"/>
      <c r="AE11" s="61"/>
      <c r="AF11" s="60"/>
      <c r="AG11" s="31"/>
      <c r="AH11" s="61"/>
      <c r="AI11" s="60"/>
      <c r="AJ11" s="31"/>
      <c r="AK11" s="61"/>
      <c r="AL11" s="60"/>
      <c r="AM11" s="31"/>
      <c r="AN11" s="61"/>
      <c r="AO11" s="60"/>
      <c r="AP11" s="31"/>
      <c r="AQ11" s="61"/>
      <c r="AR11" s="60"/>
      <c r="AS11" s="31"/>
      <c r="AT11" s="61"/>
    </row>
    <row r="12" ht="39.75" customHeight="1">
      <c r="A12" s="62"/>
      <c r="B12" s="170"/>
      <c r="C12" s="170" t="s">
        <v>1032</v>
      </c>
      <c r="D12" s="170" t="s">
        <v>634</v>
      </c>
      <c r="E12" s="173">
        <v>4.0</v>
      </c>
      <c r="F12" s="170">
        <v>2000.0</v>
      </c>
      <c r="G12" s="174">
        <f>'PAINEL DE CONTROLE'!$G$7</f>
        <v>10727</v>
      </c>
      <c r="H12" s="175">
        <v>7100.0</v>
      </c>
      <c r="I12" s="170">
        <f t="shared" si="1"/>
        <v>9100</v>
      </c>
      <c r="J12" s="174">
        <f t="shared" si="2"/>
        <v>-1627</v>
      </c>
      <c r="K12" s="60"/>
      <c r="L12" s="31"/>
      <c r="M12" s="61"/>
      <c r="N12" s="60"/>
      <c r="O12" s="31"/>
      <c r="P12" s="61"/>
      <c r="Q12" s="60"/>
      <c r="R12" s="31"/>
      <c r="S12" s="61"/>
      <c r="T12" s="60"/>
      <c r="U12" s="31"/>
      <c r="V12" s="61"/>
      <c r="W12" s="60"/>
      <c r="X12" s="31"/>
      <c r="Y12" s="61"/>
      <c r="Z12" s="60"/>
      <c r="AA12" s="31"/>
      <c r="AB12" s="61"/>
      <c r="AC12" s="60"/>
      <c r="AD12" s="31"/>
      <c r="AE12" s="61"/>
      <c r="AF12" s="60"/>
      <c r="AG12" s="31"/>
      <c r="AH12" s="61"/>
      <c r="AI12" s="60"/>
      <c r="AJ12" s="31"/>
      <c r="AK12" s="61"/>
      <c r="AL12" s="60"/>
      <c r="AM12" s="31"/>
      <c r="AN12" s="61"/>
      <c r="AO12" s="60"/>
      <c r="AP12" s="31"/>
      <c r="AQ12" s="61"/>
      <c r="AR12" s="60"/>
      <c r="AS12" s="31"/>
      <c r="AT12" s="61"/>
    </row>
    <row r="13" ht="39.75" customHeight="1">
      <c r="A13" s="63"/>
      <c r="B13" s="170"/>
      <c r="C13" s="170" t="s">
        <v>1033</v>
      </c>
      <c r="D13" s="170" t="s">
        <v>1034</v>
      </c>
      <c r="E13" s="173">
        <v>8.0</v>
      </c>
      <c r="F13" s="170">
        <v>2000.0</v>
      </c>
      <c r="G13" s="174">
        <f>'PAINEL DE CONTROLE'!$G$7</f>
        <v>10727</v>
      </c>
      <c r="H13" s="175">
        <v>7100.0</v>
      </c>
      <c r="I13" s="170">
        <f t="shared" si="1"/>
        <v>9100</v>
      </c>
      <c r="J13" s="174">
        <f t="shared" si="2"/>
        <v>-1627</v>
      </c>
      <c r="K13" s="60"/>
      <c r="L13" s="31"/>
      <c r="M13" s="61"/>
      <c r="N13" s="60"/>
      <c r="O13" s="31"/>
      <c r="P13" s="61"/>
      <c r="Q13" s="60"/>
      <c r="R13" s="31"/>
      <c r="S13" s="61"/>
      <c r="T13" s="60"/>
      <c r="U13" s="31"/>
      <c r="V13" s="61"/>
      <c r="W13" s="60"/>
      <c r="X13" s="31"/>
      <c r="Y13" s="61"/>
      <c r="Z13" s="60"/>
      <c r="AA13" s="31"/>
      <c r="AB13" s="61"/>
      <c r="AC13" s="60"/>
      <c r="AD13" s="31"/>
      <c r="AE13" s="61"/>
      <c r="AF13" s="60"/>
      <c r="AG13" s="31"/>
      <c r="AH13" s="61"/>
      <c r="AI13" s="60"/>
      <c r="AJ13" s="31"/>
      <c r="AK13" s="61"/>
      <c r="AL13" s="60"/>
      <c r="AM13" s="31"/>
      <c r="AN13" s="61"/>
      <c r="AO13" s="60"/>
      <c r="AP13" s="31"/>
      <c r="AQ13" s="61"/>
      <c r="AR13" s="60"/>
      <c r="AS13" s="31"/>
      <c r="AT13" s="61"/>
    </row>
    <row r="14" ht="39.75" customHeight="1">
      <c r="A14" s="177" t="s">
        <v>1035</v>
      </c>
      <c r="B14" s="170" t="s">
        <v>1036</v>
      </c>
      <c r="C14" s="170" t="s">
        <v>1037</v>
      </c>
      <c r="D14" s="170" t="s">
        <v>634</v>
      </c>
      <c r="E14" s="173">
        <v>2.0</v>
      </c>
      <c r="F14" s="170">
        <v>3000.0</v>
      </c>
      <c r="G14" s="174">
        <f>'PAINEL DE CONTROLE'!$G$7</f>
        <v>10727</v>
      </c>
      <c r="H14" s="175">
        <v>7100.0</v>
      </c>
      <c r="I14" s="170">
        <f t="shared" si="1"/>
        <v>10100</v>
      </c>
      <c r="J14" s="174">
        <f t="shared" si="2"/>
        <v>-627</v>
      </c>
      <c r="K14" s="60"/>
      <c r="L14" s="31"/>
      <c r="M14" s="61"/>
      <c r="N14" s="60"/>
      <c r="O14" s="31"/>
      <c r="P14" s="61"/>
      <c r="Q14" s="60"/>
      <c r="R14" s="31"/>
      <c r="S14" s="61"/>
      <c r="T14" s="60"/>
      <c r="U14" s="31"/>
      <c r="V14" s="61"/>
      <c r="W14" s="60"/>
      <c r="X14" s="31"/>
      <c r="Y14" s="61"/>
      <c r="Z14" s="60"/>
      <c r="AA14" s="31"/>
      <c r="AB14" s="61"/>
      <c r="AC14" s="60"/>
      <c r="AD14" s="31"/>
      <c r="AE14" s="61"/>
      <c r="AF14" s="60"/>
      <c r="AG14" s="31"/>
      <c r="AH14" s="61"/>
      <c r="AI14" s="60"/>
      <c r="AJ14" s="31"/>
      <c r="AK14" s="61"/>
      <c r="AL14" s="60"/>
      <c r="AM14" s="31"/>
      <c r="AN14" s="61"/>
      <c r="AO14" s="60"/>
      <c r="AP14" s="31"/>
      <c r="AQ14" s="61"/>
      <c r="AR14" s="60"/>
      <c r="AS14" s="31"/>
      <c r="AT14" s="61"/>
    </row>
    <row r="15" ht="39.75" customHeight="1">
      <c r="A15" s="63"/>
      <c r="B15" s="170" t="s">
        <v>1038</v>
      </c>
      <c r="C15" s="170" t="s">
        <v>1039</v>
      </c>
      <c r="D15" s="170" t="s">
        <v>1040</v>
      </c>
      <c r="E15" s="173">
        <v>8.0</v>
      </c>
      <c r="F15" s="170">
        <v>3000.0</v>
      </c>
      <c r="G15" s="174">
        <f>'PAINEL DE CONTROLE'!$G$7</f>
        <v>10727</v>
      </c>
      <c r="H15" s="175">
        <v>7100.0</v>
      </c>
      <c r="I15" s="170">
        <f t="shared" si="1"/>
        <v>10100</v>
      </c>
      <c r="J15" s="174">
        <f t="shared" si="2"/>
        <v>-627</v>
      </c>
      <c r="K15" s="60"/>
      <c r="L15" s="31"/>
      <c r="M15" s="61"/>
      <c r="N15" s="60"/>
      <c r="O15" s="31"/>
      <c r="P15" s="61"/>
      <c r="Q15" s="60"/>
      <c r="R15" s="31"/>
      <c r="S15" s="61"/>
      <c r="T15" s="60"/>
      <c r="U15" s="31"/>
      <c r="V15" s="61"/>
      <c r="W15" s="60"/>
      <c r="X15" s="31"/>
      <c r="Y15" s="61"/>
      <c r="Z15" s="60"/>
      <c r="AA15" s="31"/>
      <c r="AB15" s="61"/>
      <c r="AC15" s="60"/>
      <c r="AD15" s="31"/>
      <c r="AE15" s="61"/>
      <c r="AF15" s="60"/>
      <c r="AG15" s="31"/>
      <c r="AH15" s="61"/>
      <c r="AI15" s="60"/>
      <c r="AJ15" s="31"/>
      <c r="AK15" s="61"/>
      <c r="AL15" s="60"/>
      <c r="AM15" s="31"/>
      <c r="AN15" s="61"/>
      <c r="AO15" s="60"/>
      <c r="AP15" s="31"/>
      <c r="AQ15" s="61"/>
      <c r="AR15" s="60"/>
      <c r="AS15" s="31"/>
      <c r="AT15" s="61"/>
    </row>
    <row r="16" ht="39.75" customHeight="1">
      <c r="A16" s="177" t="s">
        <v>1041</v>
      </c>
      <c r="B16" s="170"/>
      <c r="C16" s="170" t="s">
        <v>1042</v>
      </c>
      <c r="D16" s="170" t="s">
        <v>1043</v>
      </c>
      <c r="E16" s="173">
        <v>12.0</v>
      </c>
      <c r="F16" s="170">
        <v>4000.0</v>
      </c>
      <c r="G16" s="174">
        <f>'PAINEL DE CONTROLE'!$G$7</f>
        <v>10727</v>
      </c>
      <c r="H16" s="175">
        <v>7100.0</v>
      </c>
      <c r="I16" s="170">
        <f t="shared" si="1"/>
        <v>11100</v>
      </c>
      <c r="J16" s="174">
        <f t="shared" si="2"/>
        <v>373</v>
      </c>
      <c r="K16" s="60"/>
      <c r="L16" s="31"/>
      <c r="M16" s="61"/>
      <c r="N16" s="60"/>
      <c r="O16" s="31"/>
      <c r="P16" s="61"/>
      <c r="Q16" s="60"/>
      <c r="R16" s="31"/>
      <c r="S16" s="61"/>
      <c r="T16" s="60"/>
      <c r="U16" s="31"/>
      <c r="V16" s="61"/>
      <c r="W16" s="60"/>
      <c r="X16" s="31"/>
      <c r="Y16" s="61"/>
      <c r="Z16" s="60"/>
      <c r="AA16" s="31"/>
      <c r="AB16" s="61"/>
      <c r="AC16" s="60"/>
      <c r="AD16" s="31"/>
      <c r="AE16" s="61"/>
      <c r="AF16" s="60"/>
      <c r="AG16" s="31"/>
      <c r="AH16" s="61"/>
      <c r="AI16" s="60"/>
      <c r="AJ16" s="31"/>
      <c r="AK16" s="61"/>
      <c r="AL16" s="60"/>
      <c r="AM16" s="31"/>
      <c r="AN16" s="61"/>
      <c r="AO16" s="60"/>
      <c r="AP16" s="31"/>
      <c r="AQ16" s="61"/>
      <c r="AR16" s="60"/>
      <c r="AS16" s="31"/>
      <c r="AT16" s="61"/>
    </row>
    <row r="17" ht="39.75" customHeight="1">
      <c r="A17" s="62"/>
      <c r="B17" s="170"/>
      <c r="C17" s="170" t="s">
        <v>1044</v>
      </c>
      <c r="D17" s="170" t="s">
        <v>742</v>
      </c>
      <c r="E17" s="173">
        <v>4.0</v>
      </c>
      <c r="F17" s="170">
        <v>4000.0</v>
      </c>
      <c r="G17" s="174">
        <f>'PAINEL DE CONTROLE'!$G$7</f>
        <v>10727</v>
      </c>
      <c r="H17" s="175">
        <v>7100.0</v>
      </c>
      <c r="I17" s="170">
        <f t="shared" si="1"/>
        <v>11100</v>
      </c>
      <c r="J17" s="174">
        <f t="shared" si="2"/>
        <v>373</v>
      </c>
      <c r="K17" s="60"/>
      <c r="L17" s="31"/>
      <c r="M17" s="61"/>
      <c r="N17" s="60"/>
      <c r="O17" s="31"/>
      <c r="P17" s="61"/>
      <c r="Q17" s="60"/>
      <c r="R17" s="31"/>
      <c r="S17" s="61"/>
      <c r="T17" s="60"/>
      <c r="U17" s="31"/>
      <c r="V17" s="61"/>
      <c r="W17" s="60"/>
      <c r="X17" s="31"/>
      <c r="Y17" s="61"/>
      <c r="Z17" s="60"/>
      <c r="AA17" s="31"/>
      <c r="AB17" s="61"/>
      <c r="AC17" s="60"/>
      <c r="AD17" s="31"/>
      <c r="AE17" s="61"/>
      <c r="AF17" s="60"/>
      <c r="AG17" s="31"/>
      <c r="AH17" s="61"/>
      <c r="AI17" s="60"/>
      <c r="AJ17" s="31"/>
      <c r="AK17" s="61"/>
      <c r="AL17" s="60"/>
      <c r="AM17" s="31"/>
      <c r="AN17" s="61"/>
      <c r="AO17" s="60"/>
      <c r="AP17" s="31"/>
      <c r="AQ17" s="61"/>
      <c r="AR17" s="60"/>
      <c r="AS17" s="31"/>
      <c r="AT17" s="61"/>
    </row>
    <row r="18" ht="39.75" customHeight="1">
      <c r="A18" s="62"/>
      <c r="B18" s="170"/>
      <c r="C18" s="170" t="s">
        <v>1045</v>
      </c>
      <c r="D18" s="170" t="s">
        <v>605</v>
      </c>
      <c r="E18" s="173">
        <v>2.0</v>
      </c>
      <c r="F18" s="170">
        <v>4000.0</v>
      </c>
      <c r="G18" s="174">
        <f>'PAINEL DE CONTROLE'!$G$7</f>
        <v>10727</v>
      </c>
      <c r="H18" s="175">
        <v>7100.0</v>
      </c>
      <c r="I18" s="170">
        <f t="shared" si="1"/>
        <v>11100</v>
      </c>
      <c r="J18" s="174">
        <f t="shared" si="2"/>
        <v>373</v>
      </c>
      <c r="K18" s="60"/>
      <c r="L18" s="31"/>
      <c r="M18" s="61"/>
      <c r="N18" s="60"/>
      <c r="O18" s="31"/>
      <c r="P18" s="61"/>
      <c r="Q18" s="60"/>
      <c r="R18" s="31"/>
      <c r="S18" s="61"/>
      <c r="T18" s="60"/>
      <c r="U18" s="31"/>
      <c r="V18" s="61"/>
      <c r="W18" s="60"/>
      <c r="X18" s="31"/>
      <c r="Y18" s="61"/>
      <c r="Z18" s="60"/>
      <c r="AA18" s="31"/>
      <c r="AB18" s="61"/>
      <c r="AC18" s="60"/>
      <c r="AD18" s="31"/>
      <c r="AE18" s="61"/>
      <c r="AF18" s="60"/>
      <c r="AG18" s="31"/>
      <c r="AH18" s="61"/>
      <c r="AI18" s="60"/>
      <c r="AJ18" s="31"/>
      <c r="AK18" s="61"/>
      <c r="AL18" s="60"/>
      <c r="AM18" s="31"/>
      <c r="AN18" s="61"/>
      <c r="AO18" s="60"/>
      <c r="AP18" s="31"/>
      <c r="AQ18" s="61"/>
      <c r="AR18" s="60"/>
      <c r="AS18" s="31"/>
      <c r="AT18" s="61"/>
    </row>
    <row r="19" ht="39.75" customHeight="1">
      <c r="A19" s="63"/>
      <c r="B19" s="170"/>
      <c r="C19" s="170" t="s">
        <v>1046</v>
      </c>
      <c r="D19" s="170" t="s">
        <v>742</v>
      </c>
      <c r="E19" s="173">
        <v>2.0</v>
      </c>
      <c r="F19" s="170">
        <v>4000.0</v>
      </c>
      <c r="G19" s="174">
        <f>'PAINEL DE CONTROLE'!$G$7</f>
        <v>10727</v>
      </c>
      <c r="H19" s="175">
        <v>7100.0</v>
      </c>
      <c r="I19" s="170">
        <f t="shared" si="1"/>
        <v>11100</v>
      </c>
      <c r="J19" s="174">
        <f t="shared" si="2"/>
        <v>373</v>
      </c>
      <c r="K19" s="60"/>
      <c r="L19" s="31"/>
      <c r="M19" s="61"/>
      <c r="N19" s="60"/>
      <c r="O19" s="31"/>
      <c r="P19" s="61"/>
      <c r="Q19" s="60"/>
      <c r="R19" s="31"/>
      <c r="S19" s="61"/>
      <c r="T19" s="60"/>
      <c r="U19" s="31"/>
      <c r="V19" s="61"/>
      <c r="W19" s="60"/>
      <c r="X19" s="31"/>
      <c r="Y19" s="61"/>
      <c r="Z19" s="60"/>
      <c r="AA19" s="31"/>
      <c r="AB19" s="61"/>
      <c r="AC19" s="60"/>
      <c r="AD19" s="31"/>
      <c r="AE19" s="61"/>
      <c r="AF19" s="60"/>
      <c r="AG19" s="31"/>
      <c r="AH19" s="61"/>
      <c r="AI19" s="60"/>
      <c r="AJ19" s="31"/>
      <c r="AK19" s="61"/>
      <c r="AL19" s="60"/>
      <c r="AM19" s="31"/>
      <c r="AN19" s="61"/>
      <c r="AO19" s="60"/>
      <c r="AP19" s="31"/>
      <c r="AQ19" s="61"/>
      <c r="AR19" s="60"/>
      <c r="AS19" s="31"/>
      <c r="AT19" s="61"/>
    </row>
    <row r="20" ht="39.75" customHeight="1">
      <c r="A20" s="170" t="s">
        <v>1047</v>
      </c>
      <c r="B20" s="170" t="s">
        <v>1048</v>
      </c>
      <c r="C20" s="170" t="s">
        <v>1049</v>
      </c>
      <c r="D20" s="170" t="s">
        <v>1050</v>
      </c>
      <c r="E20" s="173">
        <v>1.0</v>
      </c>
      <c r="F20" s="170">
        <v>6000.0</v>
      </c>
      <c r="G20" s="174">
        <f>'PAINEL DE CONTROLE'!$G$7</f>
        <v>10727</v>
      </c>
      <c r="H20" s="175">
        <v>7100.0</v>
      </c>
      <c r="I20" s="170">
        <f t="shared" si="1"/>
        <v>13100</v>
      </c>
      <c r="J20" s="174">
        <f t="shared" si="2"/>
        <v>2373</v>
      </c>
      <c r="K20" s="107"/>
      <c r="L20" s="108"/>
      <c r="M20" s="109"/>
      <c r="N20" s="107"/>
      <c r="O20" s="108"/>
      <c r="P20" s="109"/>
      <c r="Q20" s="107"/>
      <c r="R20" s="108"/>
      <c r="S20" s="109"/>
      <c r="T20" s="107"/>
      <c r="U20" s="108"/>
      <c r="V20" s="109"/>
      <c r="W20" s="107"/>
      <c r="X20" s="108"/>
      <c r="Y20" s="109"/>
      <c r="Z20" s="107"/>
      <c r="AA20" s="108"/>
      <c r="AB20" s="109"/>
      <c r="AC20" s="107"/>
      <c r="AD20" s="108"/>
      <c r="AE20" s="109"/>
      <c r="AF20" s="107"/>
      <c r="AG20" s="108"/>
      <c r="AH20" s="109"/>
      <c r="AI20" s="107"/>
      <c r="AJ20" s="108"/>
      <c r="AK20" s="109"/>
      <c r="AL20" s="107"/>
      <c r="AM20" s="108"/>
      <c r="AN20" s="109"/>
      <c r="AO20" s="107"/>
      <c r="AP20" s="108"/>
      <c r="AQ20" s="109"/>
      <c r="AR20" s="107"/>
      <c r="AS20" s="108"/>
      <c r="AT20" s="10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B4:D4"/>
    <mergeCell ref="A5:A13"/>
    <mergeCell ref="A14:A15"/>
    <mergeCell ref="A16:A19"/>
  </mergeCells>
  <conditionalFormatting sqref="J2:J20">
    <cfRule type="cellIs" dxfId="0" priority="1" operator="lessThanOrEqual">
      <formula>-501</formula>
    </cfRule>
  </conditionalFormatting>
  <conditionalFormatting sqref="J2:J20">
    <cfRule type="containsBlanks" dxfId="1" priority="2">
      <formula>LEN(TRIM(J2))=0</formula>
    </cfRule>
  </conditionalFormatting>
  <conditionalFormatting sqref="J2:J20">
    <cfRule type="cellIs" dxfId="4" priority="3" operator="between">
      <formula>1</formula>
      <formula>1000</formula>
    </cfRule>
  </conditionalFormatting>
  <conditionalFormatting sqref="J2:J20">
    <cfRule type="cellIs" dxfId="2" priority="4" operator="between">
      <formula>0</formula>
      <formula>-500</formula>
    </cfRule>
  </conditionalFormatting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86"/>
    <col customWidth="1" min="2" max="2" width="22.43"/>
    <col customWidth="1" min="3" max="3" width="21.29"/>
    <col customWidth="1" min="4" max="4" width="46.0"/>
    <col customWidth="1" min="5" max="5" width="9.43"/>
    <col customWidth="1" min="6" max="6" width="17.14"/>
    <col customWidth="1" min="7" max="7" width="14.0"/>
    <col customWidth="1" min="8" max="8" width="16.86"/>
    <col customWidth="1" min="9" max="9" width="13.0"/>
    <col customWidth="1" min="10" max="10" width="19.57"/>
    <col customWidth="1" min="11" max="11" width="29.14"/>
    <col customWidth="1" min="12" max="12" width="58.86"/>
    <col customWidth="1" min="13" max="13" width="18.0"/>
    <col customWidth="1" min="14" max="14" width="29.14"/>
    <col customWidth="1" min="15" max="15" width="58.86"/>
    <col customWidth="1" min="16" max="16" width="18.0"/>
    <col customWidth="1" min="17" max="17" width="29.14"/>
    <col customWidth="1" min="18" max="18" width="58.86"/>
    <col customWidth="1" min="19" max="19" width="18.0"/>
    <col customWidth="1" min="20" max="20" width="29.14"/>
    <col customWidth="1" min="21" max="21" width="58.86"/>
    <col customWidth="1" min="22" max="22" width="18.0"/>
    <col customWidth="1" min="23" max="23" width="29.14"/>
    <col customWidth="1" min="24" max="24" width="58.86"/>
    <col customWidth="1" min="25" max="25" width="18.0"/>
    <col customWidth="1" min="26" max="26" width="29.14"/>
    <col customWidth="1" min="27" max="27" width="58.86"/>
    <col customWidth="1" min="28" max="28" width="18.0"/>
    <col customWidth="1" min="29" max="29" width="29.14"/>
    <col customWidth="1" min="30" max="30" width="58.86"/>
    <col customWidth="1" min="31" max="31" width="18.0"/>
    <col customWidth="1" min="32" max="32" width="29.14"/>
    <col customWidth="1" min="33" max="33" width="58.86"/>
    <col customWidth="1" min="34" max="34" width="18.0"/>
    <col customWidth="1" min="35" max="35" width="29.14"/>
    <col customWidth="1" min="36" max="36" width="58.86"/>
    <col customWidth="1" min="37" max="37" width="18.0"/>
    <col customWidth="1" min="38" max="38" width="29.14"/>
    <col customWidth="1" min="39" max="39" width="58.86"/>
    <col customWidth="1" min="40" max="40" width="18.0"/>
    <col customWidth="1" min="41" max="41" width="29.14"/>
    <col customWidth="1" min="42" max="42" width="58.86"/>
    <col customWidth="1" min="43" max="43" width="18.0"/>
    <col customWidth="1" min="44" max="44" width="29.14"/>
    <col customWidth="1" min="45" max="45" width="58.86"/>
    <col customWidth="1" min="46" max="46" width="18.0"/>
  </cols>
  <sheetData>
    <row r="1" ht="42.0" customHeight="1">
      <c r="A1" s="36" t="s">
        <v>1051</v>
      </c>
      <c r="B1" s="37"/>
      <c r="C1" s="37"/>
      <c r="D1" s="37"/>
      <c r="E1" s="37"/>
      <c r="F1" s="37"/>
      <c r="G1" s="37"/>
      <c r="H1" s="37"/>
      <c r="I1" s="37"/>
      <c r="J1" s="162"/>
      <c r="K1" s="139"/>
      <c r="L1" s="140"/>
      <c r="M1" s="141"/>
      <c r="N1" s="139"/>
      <c r="O1" s="140"/>
      <c r="P1" s="141"/>
      <c r="Q1" s="139"/>
      <c r="R1" s="140"/>
      <c r="S1" s="141"/>
      <c r="T1" s="139"/>
      <c r="U1" s="140"/>
      <c r="V1" s="141"/>
      <c r="W1" s="139"/>
      <c r="X1" s="140"/>
      <c r="Y1" s="141"/>
      <c r="Z1" s="139"/>
      <c r="AA1" s="140"/>
      <c r="AB1" s="141"/>
      <c r="AC1" s="139"/>
      <c r="AD1" s="140"/>
      <c r="AE1" s="141"/>
      <c r="AF1" s="139"/>
      <c r="AG1" s="140"/>
      <c r="AH1" s="141"/>
      <c r="AI1" s="139"/>
      <c r="AJ1" s="140"/>
      <c r="AK1" s="141"/>
      <c r="AL1" s="139"/>
      <c r="AM1" s="140"/>
      <c r="AN1" s="141"/>
      <c r="AO1" s="139"/>
      <c r="AP1" s="140"/>
      <c r="AQ1" s="141"/>
      <c r="AR1" s="139"/>
      <c r="AS1" s="140"/>
      <c r="AT1" s="141"/>
    </row>
    <row r="2" ht="24.0" customHeight="1">
      <c r="A2" s="178" t="s">
        <v>96</v>
      </c>
      <c r="B2" s="178" t="s">
        <v>98</v>
      </c>
      <c r="C2" s="178" t="s">
        <v>99</v>
      </c>
      <c r="D2" s="178" t="s">
        <v>100</v>
      </c>
      <c r="E2" s="179" t="s">
        <v>101</v>
      </c>
      <c r="F2" s="178" t="s">
        <v>506</v>
      </c>
      <c r="G2" s="178" t="s">
        <v>103</v>
      </c>
      <c r="H2" s="178" t="s">
        <v>104</v>
      </c>
      <c r="I2" s="178" t="s">
        <v>105</v>
      </c>
      <c r="J2" s="178" t="s">
        <v>106</v>
      </c>
      <c r="K2" s="47" t="s">
        <v>107</v>
      </c>
      <c r="L2" s="45" t="s">
        <v>108</v>
      </c>
      <c r="M2" s="126" t="s">
        <v>109</v>
      </c>
      <c r="N2" s="47" t="s">
        <v>107</v>
      </c>
      <c r="O2" s="45" t="s">
        <v>108</v>
      </c>
      <c r="P2" s="126" t="s">
        <v>109</v>
      </c>
      <c r="Q2" s="47" t="s">
        <v>107</v>
      </c>
      <c r="R2" s="45" t="s">
        <v>108</v>
      </c>
      <c r="S2" s="126" t="s">
        <v>109</v>
      </c>
      <c r="T2" s="47" t="s">
        <v>107</v>
      </c>
      <c r="U2" s="45" t="s">
        <v>108</v>
      </c>
      <c r="V2" s="126" t="s">
        <v>109</v>
      </c>
      <c r="W2" s="47" t="s">
        <v>107</v>
      </c>
      <c r="X2" s="45" t="s">
        <v>108</v>
      </c>
      <c r="Y2" s="126" t="s">
        <v>109</v>
      </c>
      <c r="Z2" s="47" t="s">
        <v>107</v>
      </c>
      <c r="AA2" s="45" t="s">
        <v>108</v>
      </c>
      <c r="AB2" s="126" t="s">
        <v>109</v>
      </c>
      <c r="AC2" s="47" t="s">
        <v>107</v>
      </c>
      <c r="AD2" s="45" t="s">
        <v>108</v>
      </c>
      <c r="AE2" s="126" t="s">
        <v>109</v>
      </c>
      <c r="AF2" s="47" t="s">
        <v>107</v>
      </c>
      <c r="AG2" s="45" t="s">
        <v>108</v>
      </c>
      <c r="AH2" s="126" t="s">
        <v>109</v>
      </c>
      <c r="AI2" s="47" t="s">
        <v>107</v>
      </c>
      <c r="AJ2" s="45" t="s">
        <v>108</v>
      </c>
      <c r="AK2" s="126" t="s">
        <v>109</v>
      </c>
      <c r="AL2" s="47" t="s">
        <v>107</v>
      </c>
      <c r="AM2" s="45" t="s">
        <v>108</v>
      </c>
      <c r="AN2" s="126" t="s">
        <v>109</v>
      </c>
      <c r="AO2" s="47" t="s">
        <v>107</v>
      </c>
      <c r="AP2" s="45" t="s">
        <v>108</v>
      </c>
      <c r="AQ2" s="126" t="s">
        <v>109</v>
      </c>
      <c r="AR2" s="47" t="s">
        <v>107</v>
      </c>
      <c r="AS2" s="45" t="s">
        <v>108</v>
      </c>
      <c r="AT2" s="126" t="s">
        <v>109</v>
      </c>
    </row>
    <row r="3" ht="24.0" customHeight="1">
      <c r="A3" s="64" t="s">
        <v>1052</v>
      </c>
      <c r="B3" s="51" t="str">
        <f>VLOOKUP(C3,[1]Saldo!A2:B31275,2,0)</f>
        <v>#ERROR!</v>
      </c>
      <c r="C3" s="180" t="s">
        <v>1053</v>
      </c>
      <c r="D3" s="180" t="s">
        <v>634</v>
      </c>
      <c r="E3" s="180">
        <v>4.0</v>
      </c>
      <c r="F3" s="180">
        <v>4000.0</v>
      </c>
      <c r="G3" s="128">
        <f>'PAINEL DE CONTROLE'!$G$8</f>
        <v>29012</v>
      </c>
      <c r="H3" s="128">
        <v>25198.0</v>
      </c>
      <c r="I3" s="128">
        <f t="shared" ref="I3:I71" si="1">SUM(H3+F3)</f>
        <v>29198</v>
      </c>
      <c r="J3" s="128">
        <f t="shared" ref="J3:J71" si="2">SUM(I3-G3)</f>
        <v>186</v>
      </c>
      <c r="K3" s="60"/>
      <c r="L3" s="31"/>
      <c r="M3" s="61"/>
      <c r="N3" s="60"/>
      <c r="O3" s="31"/>
      <c r="P3" s="61"/>
      <c r="Q3" s="60"/>
      <c r="R3" s="31"/>
      <c r="S3" s="61"/>
      <c r="T3" s="60"/>
      <c r="U3" s="31"/>
      <c r="V3" s="61"/>
      <c r="W3" s="60"/>
      <c r="X3" s="31"/>
      <c r="Y3" s="61"/>
      <c r="Z3" s="60"/>
      <c r="AA3" s="31"/>
      <c r="AB3" s="61"/>
      <c r="AC3" s="60"/>
      <c r="AD3" s="31"/>
      <c r="AE3" s="61"/>
      <c r="AF3" s="60"/>
      <c r="AG3" s="31"/>
      <c r="AH3" s="61"/>
      <c r="AI3" s="60"/>
      <c r="AJ3" s="31"/>
      <c r="AK3" s="61"/>
      <c r="AL3" s="60"/>
      <c r="AM3" s="31"/>
      <c r="AN3" s="61"/>
      <c r="AO3" s="60"/>
      <c r="AP3" s="31"/>
      <c r="AQ3" s="61"/>
      <c r="AR3" s="60"/>
      <c r="AS3" s="31"/>
      <c r="AT3" s="61"/>
    </row>
    <row r="4" ht="24.0" customHeight="1">
      <c r="A4" s="62"/>
      <c r="B4" s="51" t="str">
        <f>VLOOKUP(C4,[1]Saldo!A3:B31276,2,0)</f>
        <v>#ERROR!</v>
      </c>
      <c r="C4" s="69" t="s">
        <v>1054</v>
      </c>
      <c r="D4" s="180" t="s">
        <v>1055</v>
      </c>
      <c r="E4" s="180">
        <v>4.0</v>
      </c>
      <c r="F4" s="180">
        <v>2000.0</v>
      </c>
      <c r="G4" s="128">
        <f>'PAINEL DE CONTROLE'!$G$8</f>
        <v>29012</v>
      </c>
      <c r="H4" s="128">
        <v>25198.0</v>
      </c>
      <c r="I4" s="128">
        <f t="shared" si="1"/>
        <v>27198</v>
      </c>
      <c r="J4" s="128">
        <f t="shared" si="2"/>
        <v>-1814</v>
      </c>
      <c r="K4" s="60"/>
      <c r="L4" s="31"/>
      <c r="M4" s="61"/>
      <c r="N4" s="60"/>
      <c r="O4" s="31"/>
      <c r="P4" s="61"/>
      <c r="Q4" s="60"/>
      <c r="R4" s="31"/>
      <c r="S4" s="61"/>
      <c r="T4" s="60"/>
      <c r="U4" s="31"/>
      <c r="V4" s="61"/>
      <c r="W4" s="60"/>
      <c r="X4" s="31"/>
      <c r="Y4" s="61"/>
      <c r="Z4" s="60"/>
      <c r="AA4" s="31"/>
      <c r="AB4" s="61"/>
      <c r="AC4" s="60"/>
      <c r="AD4" s="31"/>
      <c r="AE4" s="61"/>
      <c r="AF4" s="60"/>
      <c r="AG4" s="31"/>
      <c r="AH4" s="61"/>
      <c r="AI4" s="60"/>
      <c r="AJ4" s="31"/>
      <c r="AK4" s="61"/>
      <c r="AL4" s="60"/>
      <c r="AM4" s="31"/>
      <c r="AN4" s="61"/>
      <c r="AO4" s="60"/>
      <c r="AP4" s="31"/>
      <c r="AQ4" s="61"/>
      <c r="AR4" s="60"/>
      <c r="AS4" s="31"/>
      <c r="AT4" s="61"/>
    </row>
    <row r="5" ht="24.0" customHeight="1">
      <c r="A5" s="62"/>
      <c r="B5" s="51" t="str">
        <f>VLOOKUP(C5,[1]Saldo!A4:B31277,2,0)</f>
        <v>#ERROR!</v>
      </c>
      <c r="C5" s="180" t="s">
        <v>1056</v>
      </c>
      <c r="D5" s="180" t="s">
        <v>605</v>
      </c>
      <c r="E5" s="181">
        <v>2.0</v>
      </c>
      <c r="F5" s="180">
        <v>2000.0</v>
      </c>
      <c r="G5" s="128">
        <f>'PAINEL DE CONTROLE'!$G$8</f>
        <v>29012</v>
      </c>
      <c r="H5" s="128">
        <v>25198.0</v>
      </c>
      <c r="I5" s="128">
        <f t="shared" si="1"/>
        <v>27198</v>
      </c>
      <c r="J5" s="128">
        <f t="shared" si="2"/>
        <v>-1814</v>
      </c>
      <c r="K5" s="60"/>
      <c r="L5" s="31"/>
      <c r="M5" s="61"/>
      <c r="N5" s="60"/>
      <c r="O5" s="31"/>
      <c r="P5" s="61"/>
      <c r="Q5" s="60"/>
      <c r="R5" s="31"/>
      <c r="S5" s="61"/>
      <c r="T5" s="60"/>
      <c r="U5" s="31"/>
      <c r="V5" s="61"/>
      <c r="W5" s="60"/>
      <c r="X5" s="31"/>
      <c r="Y5" s="61"/>
      <c r="Z5" s="60"/>
      <c r="AA5" s="31"/>
      <c r="AB5" s="61"/>
      <c r="AC5" s="60"/>
      <c r="AD5" s="31"/>
      <c r="AE5" s="61"/>
      <c r="AF5" s="60"/>
      <c r="AG5" s="31"/>
      <c r="AH5" s="61"/>
      <c r="AI5" s="60"/>
      <c r="AJ5" s="31"/>
      <c r="AK5" s="61"/>
      <c r="AL5" s="60"/>
      <c r="AM5" s="31"/>
      <c r="AN5" s="61"/>
      <c r="AO5" s="60"/>
      <c r="AP5" s="31"/>
      <c r="AQ5" s="61"/>
      <c r="AR5" s="60"/>
      <c r="AS5" s="31"/>
      <c r="AT5" s="61"/>
    </row>
    <row r="6" ht="24.0" customHeight="1">
      <c r="A6" s="62"/>
      <c r="B6" s="51" t="str">
        <f>VLOOKUP(C6,[1]Saldo!A5:B31278,2,0)</f>
        <v>#ERROR!</v>
      </c>
      <c r="C6" s="180" t="s">
        <v>1057</v>
      </c>
      <c r="D6" s="180" t="s">
        <v>1058</v>
      </c>
      <c r="E6" s="181">
        <v>8.0</v>
      </c>
      <c r="F6" s="180">
        <v>2000.0</v>
      </c>
      <c r="G6" s="128">
        <f>'PAINEL DE CONTROLE'!$G$8</f>
        <v>29012</v>
      </c>
      <c r="H6" s="128">
        <v>25198.0</v>
      </c>
      <c r="I6" s="128">
        <f t="shared" si="1"/>
        <v>27198</v>
      </c>
      <c r="J6" s="128">
        <f t="shared" si="2"/>
        <v>-1814</v>
      </c>
      <c r="K6" s="60"/>
      <c r="L6" s="31"/>
      <c r="M6" s="61"/>
      <c r="N6" s="60"/>
      <c r="O6" s="31"/>
      <c r="P6" s="61"/>
      <c r="Q6" s="60"/>
      <c r="R6" s="31"/>
      <c r="S6" s="61"/>
      <c r="T6" s="60"/>
      <c r="U6" s="31"/>
      <c r="V6" s="61"/>
      <c r="W6" s="60"/>
      <c r="X6" s="31"/>
      <c r="Y6" s="61"/>
      <c r="Z6" s="60"/>
      <c r="AA6" s="31"/>
      <c r="AB6" s="61"/>
      <c r="AC6" s="60"/>
      <c r="AD6" s="31"/>
      <c r="AE6" s="61"/>
      <c r="AF6" s="60"/>
      <c r="AG6" s="31"/>
      <c r="AH6" s="61"/>
      <c r="AI6" s="60"/>
      <c r="AJ6" s="31"/>
      <c r="AK6" s="61"/>
      <c r="AL6" s="60"/>
      <c r="AM6" s="31"/>
      <c r="AN6" s="61"/>
      <c r="AO6" s="60"/>
      <c r="AP6" s="31"/>
      <c r="AQ6" s="61"/>
      <c r="AR6" s="60"/>
      <c r="AS6" s="31"/>
      <c r="AT6" s="61"/>
    </row>
    <row r="7" ht="24.0" customHeight="1">
      <c r="A7" s="62"/>
      <c r="B7" s="51" t="str">
        <f>VLOOKUP(C7,[1]Saldo!A6:B31279,2,0)</f>
        <v>#ERROR!</v>
      </c>
      <c r="C7" s="180" t="s">
        <v>1059</v>
      </c>
      <c r="D7" s="180" t="s">
        <v>1060</v>
      </c>
      <c r="E7" s="181">
        <v>2.0</v>
      </c>
      <c r="F7" s="180">
        <v>2000.0</v>
      </c>
      <c r="G7" s="128">
        <f>'PAINEL DE CONTROLE'!$G$8</f>
        <v>29012</v>
      </c>
      <c r="H7" s="128">
        <v>25198.0</v>
      </c>
      <c r="I7" s="128">
        <f t="shared" si="1"/>
        <v>27198</v>
      </c>
      <c r="J7" s="128">
        <f t="shared" si="2"/>
        <v>-1814</v>
      </c>
      <c r="K7" s="60"/>
      <c r="L7" s="31"/>
      <c r="M7" s="61"/>
      <c r="N7" s="60"/>
      <c r="O7" s="31"/>
      <c r="P7" s="61"/>
      <c r="Q7" s="60"/>
      <c r="R7" s="31"/>
      <c r="S7" s="61"/>
      <c r="T7" s="60"/>
      <c r="U7" s="31"/>
      <c r="V7" s="61"/>
      <c r="W7" s="60"/>
      <c r="X7" s="31"/>
      <c r="Y7" s="61"/>
      <c r="Z7" s="60"/>
      <c r="AA7" s="31"/>
      <c r="AB7" s="61"/>
      <c r="AC7" s="60"/>
      <c r="AD7" s="31"/>
      <c r="AE7" s="61"/>
      <c r="AF7" s="60"/>
      <c r="AG7" s="31"/>
      <c r="AH7" s="61"/>
      <c r="AI7" s="60"/>
      <c r="AJ7" s="31"/>
      <c r="AK7" s="61"/>
      <c r="AL7" s="60"/>
      <c r="AM7" s="31"/>
      <c r="AN7" s="61"/>
      <c r="AO7" s="60"/>
      <c r="AP7" s="31"/>
      <c r="AQ7" s="61"/>
      <c r="AR7" s="60"/>
      <c r="AS7" s="31"/>
      <c r="AT7" s="61"/>
    </row>
    <row r="8" ht="24.0" customHeight="1">
      <c r="A8" s="62"/>
      <c r="B8" s="51" t="str">
        <f>VLOOKUP(C8,[1]Saldo!A7:B31280,2,0)</f>
        <v>#ERROR!</v>
      </c>
      <c r="C8" s="180" t="s">
        <v>1061</v>
      </c>
      <c r="D8" s="180" t="s">
        <v>1062</v>
      </c>
      <c r="E8" s="181">
        <v>4.0</v>
      </c>
      <c r="F8" s="180">
        <v>2000.0</v>
      </c>
      <c r="G8" s="128">
        <f>'PAINEL DE CONTROLE'!$G$8</f>
        <v>29012</v>
      </c>
      <c r="H8" s="128">
        <v>25198.0</v>
      </c>
      <c r="I8" s="128">
        <f t="shared" si="1"/>
        <v>27198</v>
      </c>
      <c r="J8" s="128">
        <f t="shared" si="2"/>
        <v>-1814</v>
      </c>
      <c r="K8" s="60"/>
      <c r="L8" s="31"/>
      <c r="M8" s="61"/>
      <c r="N8" s="60"/>
      <c r="O8" s="31"/>
      <c r="P8" s="61"/>
      <c r="Q8" s="60"/>
      <c r="R8" s="31"/>
      <c r="S8" s="61"/>
      <c r="T8" s="60"/>
      <c r="U8" s="31"/>
      <c r="V8" s="61"/>
      <c r="W8" s="60"/>
      <c r="X8" s="31"/>
      <c r="Y8" s="61"/>
      <c r="Z8" s="60"/>
      <c r="AA8" s="31"/>
      <c r="AB8" s="61"/>
      <c r="AC8" s="60"/>
      <c r="AD8" s="31"/>
      <c r="AE8" s="61"/>
      <c r="AF8" s="60"/>
      <c r="AG8" s="31"/>
      <c r="AH8" s="61"/>
      <c r="AI8" s="60"/>
      <c r="AJ8" s="31"/>
      <c r="AK8" s="61"/>
      <c r="AL8" s="60"/>
      <c r="AM8" s="31"/>
      <c r="AN8" s="61"/>
      <c r="AO8" s="60"/>
      <c r="AP8" s="31"/>
      <c r="AQ8" s="61"/>
      <c r="AR8" s="60"/>
      <c r="AS8" s="31"/>
      <c r="AT8" s="61"/>
    </row>
    <row r="9" ht="24.0" customHeight="1">
      <c r="A9" s="63"/>
      <c r="B9" s="51" t="str">
        <f>VLOOKUP(C9,[1]Saldo!A8:B31281,2,0)</f>
        <v>#ERROR!</v>
      </c>
      <c r="C9" s="180" t="s">
        <v>1063</v>
      </c>
      <c r="D9" s="180" t="s">
        <v>605</v>
      </c>
      <c r="E9" s="181">
        <v>4.0</v>
      </c>
      <c r="F9" s="180">
        <v>2000.0</v>
      </c>
      <c r="G9" s="128">
        <f>'PAINEL DE CONTROLE'!$G$8</f>
        <v>29012</v>
      </c>
      <c r="H9" s="128">
        <v>25198.0</v>
      </c>
      <c r="I9" s="128">
        <f t="shared" si="1"/>
        <v>27198</v>
      </c>
      <c r="J9" s="128">
        <f t="shared" si="2"/>
        <v>-1814</v>
      </c>
      <c r="K9" s="60"/>
      <c r="L9" s="31"/>
      <c r="M9" s="61"/>
      <c r="N9" s="60"/>
      <c r="O9" s="31"/>
      <c r="P9" s="61"/>
      <c r="Q9" s="60"/>
      <c r="R9" s="31"/>
      <c r="S9" s="61"/>
      <c r="T9" s="60"/>
      <c r="U9" s="31"/>
      <c r="V9" s="61"/>
      <c r="W9" s="60"/>
      <c r="X9" s="31"/>
      <c r="Y9" s="61"/>
      <c r="Z9" s="60"/>
      <c r="AA9" s="31"/>
      <c r="AB9" s="61"/>
      <c r="AC9" s="60"/>
      <c r="AD9" s="31"/>
      <c r="AE9" s="61"/>
      <c r="AF9" s="60"/>
      <c r="AG9" s="31"/>
      <c r="AH9" s="61"/>
      <c r="AI9" s="60"/>
      <c r="AJ9" s="31"/>
      <c r="AK9" s="61"/>
      <c r="AL9" s="60"/>
      <c r="AM9" s="31"/>
      <c r="AN9" s="61"/>
      <c r="AO9" s="60"/>
      <c r="AP9" s="31"/>
      <c r="AQ9" s="61"/>
      <c r="AR9" s="60"/>
      <c r="AS9" s="31"/>
      <c r="AT9" s="61"/>
    </row>
    <row r="10" ht="24.0" customHeight="1">
      <c r="A10" s="64" t="s">
        <v>1064</v>
      </c>
      <c r="B10" s="51" t="str">
        <f>VLOOKUP(C10,[1]Saldo!A9:B31282,2,0)</f>
        <v>#ERROR!</v>
      </c>
      <c r="C10" s="50" t="s">
        <v>945</v>
      </c>
      <c r="D10" s="180" t="str">
        <f t="shared" ref="D10:D61" si="3">'[1]PARAMETROS PREVENTIVA'!$C675</f>
        <v>#REF!</v>
      </c>
      <c r="E10" s="181" t="str">
        <f t="shared" ref="E10:E58" si="4">'[1]PARAMETROS PREVENTIVA'!$D675</f>
        <v>#REF!</v>
      </c>
      <c r="F10" s="180" t="str">
        <f t="shared" ref="F10:F61" si="5">'[1]PARAMETROS PREVENTIVA'!$E675</f>
        <v>#REF!</v>
      </c>
      <c r="G10" s="128">
        <f>'PAINEL DE CONTROLE'!$G$8</f>
        <v>29012</v>
      </c>
      <c r="H10" s="128">
        <v>25198.0</v>
      </c>
      <c r="I10" s="128" t="str">
        <f t="shared" si="1"/>
        <v>#REF!</v>
      </c>
      <c r="J10" s="128" t="str">
        <f t="shared" si="2"/>
        <v>#REF!</v>
      </c>
      <c r="K10" s="60"/>
      <c r="L10" s="31"/>
      <c r="M10" s="61"/>
      <c r="N10" s="60"/>
      <c r="O10" s="31"/>
      <c r="P10" s="61"/>
      <c r="Q10" s="60"/>
      <c r="R10" s="31"/>
      <c r="S10" s="61"/>
      <c r="T10" s="60"/>
      <c r="U10" s="31"/>
      <c r="V10" s="61"/>
      <c r="W10" s="60"/>
      <c r="X10" s="31"/>
      <c r="Y10" s="61"/>
      <c r="Z10" s="60"/>
      <c r="AA10" s="31"/>
      <c r="AB10" s="61"/>
      <c r="AC10" s="60"/>
      <c r="AD10" s="31"/>
      <c r="AE10" s="61"/>
      <c r="AF10" s="60"/>
      <c r="AG10" s="31"/>
      <c r="AH10" s="61"/>
      <c r="AI10" s="60"/>
      <c r="AJ10" s="31"/>
      <c r="AK10" s="61"/>
      <c r="AL10" s="60"/>
      <c r="AM10" s="31"/>
      <c r="AN10" s="61"/>
      <c r="AO10" s="60"/>
      <c r="AP10" s="31"/>
      <c r="AQ10" s="61"/>
      <c r="AR10" s="60"/>
      <c r="AS10" s="31"/>
      <c r="AT10" s="61"/>
    </row>
    <row r="11" ht="24.0" customHeight="1">
      <c r="A11" s="62"/>
      <c r="B11" s="51" t="str">
        <f>VLOOKUP(C11,[1]Saldo!A10:B31283,2,0)</f>
        <v>#ERROR!</v>
      </c>
      <c r="C11" s="180" t="s">
        <v>1065</v>
      </c>
      <c r="D11" s="180" t="str">
        <f t="shared" si="3"/>
        <v>#REF!</v>
      </c>
      <c r="E11" s="181" t="str">
        <f t="shared" si="4"/>
        <v>#REF!</v>
      </c>
      <c r="F11" s="180" t="str">
        <f t="shared" si="5"/>
        <v>#REF!</v>
      </c>
      <c r="G11" s="128">
        <f>'PAINEL DE CONTROLE'!$G$8</f>
        <v>29012</v>
      </c>
      <c r="H11" s="128">
        <v>25198.0</v>
      </c>
      <c r="I11" s="128" t="str">
        <f t="shared" si="1"/>
        <v>#REF!</v>
      </c>
      <c r="J11" s="128" t="str">
        <f t="shared" si="2"/>
        <v>#REF!</v>
      </c>
      <c r="K11" s="60"/>
      <c r="L11" s="31"/>
      <c r="M11" s="61"/>
      <c r="N11" s="60"/>
      <c r="O11" s="31"/>
      <c r="P11" s="61"/>
      <c r="Q11" s="60"/>
      <c r="R11" s="31"/>
      <c r="S11" s="61"/>
      <c r="T11" s="60"/>
      <c r="U11" s="31"/>
      <c r="V11" s="61"/>
      <c r="W11" s="60"/>
      <c r="X11" s="31"/>
      <c r="Y11" s="61"/>
      <c r="Z11" s="60"/>
      <c r="AA11" s="31"/>
      <c r="AB11" s="61"/>
      <c r="AC11" s="60"/>
      <c r="AD11" s="31"/>
      <c r="AE11" s="61"/>
      <c r="AF11" s="60"/>
      <c r="AG11" s="31"/>
      <c r="AH11" s="61"/>
      <c r="AI11" s="60"/>
      <c r="AJ11" s="31"/>
      <c r="AK11" s="61"/>
      <c r="AL11" s="60"/>
      <c r="AM11" s="31"/>
      <c r="AN11" s="61"/>
      <c r="AO11" s="60"/>
      <c r="AP11" s="31"/>
      <c r="AQ11" s="61"/>
      <c r="AR11" s="60"/>
      <c r="AS11" s="31"/>
      <c r="AT11" s="61"/>
    </row>
    <row r="12" ht="24.0" customHeight="1">
      <c r="A12" s="63"/>
      <c r="B12" s="51" t="str">
        <f>VLOOKUP(C12,[1]Saldo!A11:B31284,2,0)</f>
        <v>#ERROR!</v>
      </c>
      <c r="C12" s="88" t="s">
        <v>1066</v>
      </c>
      <c r="D12" s="88" t="str">
        <f t="shared" si="3"/>
        <v>#REF!</v>
      </c>
      <c r="E12" s="137" t="str">
        <f t="shared" si="4"/>
        <v>#REF!</v>
      </c>
      <c r="F12" s="88" t="str">
        <f t="shared" si="5"/>
        <v>#REF!</v>
      </c>
      <c r="G12" s="128">
        <f>'PAINEL DE CONTROLE'!$G$8</f>
        <v>29012</v>
      </c>
      <c r="H12" s="128">
        <v>25198.0</v>
      </c>
      <c r="I12" s="128" t="str">
        <f t="shared" si="1"/>
        <v>#REF!</v>
      </c>
      <c r="J12" s="128" t="str">
        <f t="shared" si="2"/>
        <v>#REF!</v>
      </c>
      <c r="K12" s="60"/>
      <c r="L12" s="31"/>
      <c r="M12" s="61"/>
      <c r="N12" s="60"/>
      <c r="O12" s="31"/>
      <c r="P12" s="61"/>
      <c r="Q12" s="60"/>
      <c r="R12" s="31"/>
      <c r="S12" s="61"/>
      <c r="T12" s="60"/>
      <c r="U12" s="31"/>
      <c r="V12" s="61"/>
      <c r="W12" s="60"/>
      <c r="X12" s="31"/>
      <c r="Y12" s="61"/>
      <c r="Z12" s="60"/>
      <c r="AA12" s="31"/>
      <c r="AB12" s="61"/>
      <c r="AC12" s="60"/>
      <c r="AD12" s="31"/>
      <c r="AE12" s="61"/>
      <c r="AF12" s="60"/>
      <c r="AG12" s="31"/>
      <c r="AH12" s="61"/>
      <c r="AI12" s="60"/>
      <c r="AJ12" s="31"/>
      <c r="AK12" s="61"/>
      <c r="AL12" s="60"/>
      <c r="AM12" s="31"/>
      <c r="AN12" s="61"/>
      <c r="AO12" s="60"/>
      <c r="AP12" s="31"/>
      <c r="AQ12" s="61"/>
      <c r="AR12" s="60"/>
      <c r="AS12" s="31"/>
      <c r="AT12" s="61"/>
    </row>
    <row r="13" ht="24.0" customHeight="1">
      <c r="A13" s="64" t="s">
        <v>1067</v>
      </c>
      <c r="B13" s="51" t="str">
        <f>VLOOKUP(C13,[1]Saldo!A12:B31285,2,0)</f>
        <v>#ERROR!</v>
      </c>
      <c r="C13" s="88" t="s">
        <v>1068</v>
      </c>
      <c r="D13" s="88" t="str">
        <f t="shared" si="3"/>
        <v>#REF!</v>
      </c>
      <c r="E13" s="137" t="str">
        <f t="shared" si="4"/>
        <v>#REF!</v>
      </c>
      <c r="F13" s="88" t="str">
        <f t="shared" si="5"/>
        <v>#REF!</v>
      </c>
      <c r="G13" s="128">
        <f>'PAINEL DE CONTROLE'!$G$8</f>
        <v>29012</v>
      </c>
      <c r="H13" s="128">
        <v>25198.0</v>
      </c>
      <c r="I13" s="128" t="str">
        <f t="shared" si="1"/>
        <v>#REF!</v>
      </c>
      <c r="J13" s="128" t="str">
        <f t="shared" si="2"/>
        <v>#REF!</v>
      </c>
      <c r="K13" s="60"/>
      <c r="L13" s="31"/>
      <c r="M13" s="61"/>
      <c r="N13" s="60"/>
      <c r="O13" s="31"/>
      <c r="P13" s="61"/>
      <c r="Q13" s="60"/>
      <c r="R13" s="31"/>
      <c r="S13" s="61"/>
      <c r="T13" s="60"/>
      <c r="U13" s="31"/>
      <c r="V13" s="61"/>
      <c r="W13" s="60"/>
      <c r="X13" s="31"/>
      <c r="Y13" s="61"/>
      <c r="Z13" s="60"/>
      <c r="AA13" s="31"/>
      <c r="AB13" s="61"/>
      <c r="AC13" s="60"/>
      <c r="AD13" s="31"/>
      <c r="AE13" s="61"/>
      <c r="AF13" s="60"/>
      <c r="AG13" s="31"/>
      <c r="AH13" s="61"/>
      <c r="AI13" s="60"/>
      <c r="AJ13" s="31"/>
      <c r="AK13" s="61"/>
      <c r="AL13" s="60"/>
      <c r="AM13" s="31"/>
      <c r="AN13" s="61"/>
      <c r="AO13" s="60"/>
      <c r="AP13" s="31"/>
      <c r="AQ13" s="61"/>
      <c r="AR13" s="60"/>
      <c r="AS13" s="31"/>
      <c r="AT13" s="61"/>
    </row>
    <row r="14" ht="24.0" customHeight="1">
      <c r="A14" s="62"/>
      <c r="B14" s="51" t="str">
        <f>VLOOKUP(C14,[1]Saldo!A13:B31286,2,0)</f>
        <v>#ERROR!</v>
      </c>
      <c r="C14" s="88" t="s">
        <v>1069</v>
      </c>
      <c r="D14" s="88" t="str">
        <f t="shared" si="3"/>
        <v>#REF!</v>
      </c>
      <c r="E14" s="137" t="str">
        <f t="shared" si="4"/>
        <v>#REF!</v>
      </c>
      <c r="F14" s="88" t="str">
        <f t="shared" si="5"/>
        <v>#REF!</v>
      </c>
      <c r="G14" s="128">
        <f>'PAINEL DE CONTROLE'!$G$8</f>
        <v>29012</v>
      </c>
      <c r="H14" s="128">
        <v>25198.0</v>
      </c>
      <c r="I14" s="128" t="str">
        <f t="shared" si="1"/>
        <v>#REF!</v>
      </c>
      <c r="J14" s="128" t="str">
        <f t="shared" si="2"/>
        <v>#REF!</v>
      </c>
      <c r="K14" s="60"/>
      <c r="L14" s="31"/>
      <c r="M14" s="61"/>
      <c r="N14" s="60"/>
      <c r="O14" s="31"/>
      <c r="P14" s="61"/>
      <c r="Q14" s="60"/>
      <c r="R14" s="31"/>
      <c r="S14" s="61"/>
      <c r="T14" s="60"/>
      <c r="U14" s="31"/>
      <c r="V14" s="61"/>
      <c r="W14" s="60"/>
      <c r="X14" s="31"/>
      <c r="Y14" s="61"/>
      <c r="Z14" s="60"/>
      <c r="AA14" s="31"/>
      <c r="AB14" s="61"/>
      <c r="AC14" s="60"/>
      <c r="AD14" s="31"/>
      <c r="AE14" s="61"/>
      <c r="AF14" s="60"/>
      <c r="AG14" s="31"/>
      <c r="AH14" s="61"/>
      <c r="AI14" s="60"/>
      <c r="AJ14" s="31"/>
      <c r="AK14" s="61"/>
      <c r="AL14" s="60"/>
      <c r="AM14" s="31"/>
      <c r="AN14" s="61"/>
      <c r="AO14" s="60"/>
      <c r="AP14" s="31"/>
      <c r="AQ14" s="61"/>
      <c r="AR14" s="60"/>
      <c r="AS14" s="31"/>
      <c r="AT14" s="61"/>
    </row>
    <row r="15" ht="24.0" customHeight="1">
      <c r="A15" s="63"/>
      <c r="B15" s="51" t="str">
        <f>VLOOKUP(C15,[1]Saldo!A14:B31287,2,0)</f>
        <v>#ERROR!</v>
      </c>
      <c r="C15" s="88" t="s">
        <v>1070</v>
      </c>
      <c r="D15" s="88" t="str">
        <f t="shared" si="3"/>
        <v>#REF!</v>
      </c>
      <c r="E15" s="137" t="str">
        <f t="shared" si="4"/>
        <v>#REF!</v>
      </c>
      <c r="F15" s="88" t="str">
        <f t="shared" si="5"/>
        <v>#REF!</v>
      </c>
      <c r="G15" s="128">
        <f>'PAINEL DE CONTROLE'!$G$8</f>
        <v>29012</v>
      </c>
      <c r="H15" s="128">
        <v>25198.0</v>
      </c>
      <c r="I15" s="128" t="str">
        <f t="shared" si="1"/>
        <v>#REF!</v>
      </c>
      <c r="J15" s="128" t="str">
        <f t="shared" si="2"/>
        <v>#REF!</v>
      </c>
      <c r="K15" s="60"/>
      <c r="L15" s="31"/>
      <c r="M15" s="61"/>
      <c r="N15" s="60"/>
      <c r="O15" s="31"/>
      <c r="P15" s="61"/>
      <c r="Q15" s="60"/>
      <c r="R15" s="31"/>
      <c r="S15" s="61"/>
      <c r="T15" s="60"/>
      <c r="U15" s="31"/>
      <c r="V15" s="61"/>
      <c r="W15" s="60"/>
      <c r="X15" s="31"/>
      <c r="Y15" s="61"/>
      <c r="Z15" s="60"/>
      <c r="AA15" s="31"/>
      <c r="AB15" s="61"/>
      <c r="AC15" s="60"/>
      <c r="AD15" s="31"/>
      <c r="AE15" s="61"/>
      <c r="AF15" s="60"/>
      <c r="AG15" s="31"/>
      <c r="AH15" s="61"/>
      <c r="AI15" s="60"/>
      <c r="AJ15" s="31"/>
      <c r="AK15" s="61"/>
      <c r="AL15" s="60"/>
      <c r="AM15" s="31"/>
      <c r="AN15" s="61"/>
      <c r="AO15" s="60"/>
      <c r="AP15" s="31"/>
      <c r="AQ15" s="61"/>
      <c r="AR15" s="60"/>
      <c r="AS15" s="31"/>
      <c r="AT15" s="61"/>
    </row>
    <row r="16" ht="24.0" customHeight="1">
      <c r="A16" s="64" t="s">
        <v>1071</v>
      </c>
      <c r="B16" s="51" t="str">
        <f>VLOOKUP(C16,[1]Saldo!A15:B31288,2,0)</f>
        <v>#ERROR!</v>
      </c>
      <c r="C16" s="88" t="s">
        <v>1072</v>
      </c>
      <c r="D16" s="88" t="str">
        <f t="shared" si="3"/>
        <v>#REF!</v>
      </c>
      <c r="E16" s="137" t="str">
        <f t="shared" si="4"/>
        <v>#REF!</v>
      </c>
      <c r="F16" s="88" t="str">
        <f t="shared" si="5"/>
        <v>#REF!</v>
      </c>
      <c r="G16" s="128">
        <f>'PAINEL DE CONTROLE'!$G$8</f>
        <v>29012</v>
      </c>
      <c r="H16" s="128">
        <v>25198.0</v>
      </c>
      <c r="I16" s="128" t="str">
        <f t="shared" si="1"/>
        <v>#REF!</v>
      </c>
      <c r="J16" s="128" t="str">
        <f t="shared" si="2"/>
        <v>#REF!</v>
      </c>
      <c r="K16" s="60"/>
      <c r="L16" s="31"/>
      <c r="M16" s="61"/>
      <c r="N16" s="60"/>
      <c r="O16" s="31"/>
      <c r="P16" s="61"/>
      <c r="Q16" s="60"/>
      <c r="R16" s="31"/>
      <c r="S16" s="61"/>
      <c r="T16" s="60"/>
      <c r="U16" s="31"/>
      <c r="V16" s="61"/>
      <c r="W16" s="60"/>
      <c r="X16" s="31"/>
      <c r="Y16" s="61"/>
      <c r="Z16" s="60"/>
      <c r="AA16" s="31"/>
      <c r="AB16" s="61"/>
      <c r="AC16" s="60"/>
      <c r="AD16" s="31"/>
      <c r="AE16" s="61"/>
      <c r="AF16" s="60"/>
      <c r="AG16" s="31"/>
      <c r="AH16" s="61"/>
      <c r="AI16" s="60"/>
      <c r="AJ16" s="31"/>
      <c r="AK16" s="61"/>
      <c r="AL16" s="60"/>
      <c r="AM16" s="31"/>
      <c r="AN16" s="61"/>
      <c r="AO16" s="60"/>
      <c r="AP16" s="31"/>
      <c r="AQ16" s="61"/>
      <c r="AR16" s="60"/>
      <c r="AS16" s="31"/>
      <c r="AT16" s="61"/>
    </row>
    <row r="17" ht="24.0" customHeight="1">
      <c r="A17" s="62"/>
      <c r="B17" s="51" t="str">
        <f>VLOOKUP(C17,[1]Saldo!A16:B31289,2,0)</f>
        <v>#ERROR!</v>
      </c>
      <c r="C17" s="88" t="s">
        <v>1073</v>
      </c>
      <c r="D17" s="88" t="str">
        <f t="shared" si="3"/>
        <v>#REF!</v>
      </c>
      <c r="E17" s="137" t="str">
        <f t="shared" si="4"/>
        <v>#REF!</v>
      </c>
      <c r="F17" s="88" t="str">
        <f t="shared" si="5"/>
        <v>#REF!</v>
      </c>
      <c r="G17" s="128">
        <f>'PAINEL DE CONTROLE'!$G$8</f>
        <v>29012</v>
      </c>
      <c r="H17" s="128">
        <v>25198.0</v>
      </c>
      <c r="I17" s="128" t="str">
        <f t="shared" si="1"/>
        <v>#REF!</v>
      </c>
      <c r="J17" s="128" t="str">
        <f t="shared" si="2"/>
        <v>#REF!</v>
      </c>
      <c r="K17" s="60"/>
      <c r="L17" s="31"/>
      <c r="M17" s="61"/>
      <c r="N17" s="60"/>
      <c r="O17" s="31"/>
      <c r="P17" s="61"/>
      <c r="Q17" s="60"/>
      <c r="R17" s="31"/>
      <c r="S17" s="61"/>
      <c r="T17" s="60"/>
      <c r="U17" s="31"/>
      <c r="V17" s="61"/>
      <c r="W17" s="60"/>
      <c r="X17" s="31"/>
      <c r="Y17" s="61"/>
      <c r="Z17" s="60"/>
      <c r="AA17" s="31"/>
      <c r="AB17" s="61"/>
      <c r="AC17" s="60"/>
      <c r="AD17" s="31"/>
      <c r="AE17" s="61"/>
      <c r="AF17" s="60"/>
      <c r="AG17" s="31"/>
      <c r="AH17" s="61"/>
      <c r="AI17" s="60"/>
      <c r="AJ17" s="31"/>
      <c r="AK17" s="61"/>
      <c r="AL17" s="60"/>
      <c r="AM17" s="31"/>
      <c r="AN17" s="61"/>
      <c r="AO17" s="60"/>
      <c r="AP17" s="31"/>
      <c r="AQ17" s="61"/>
      <c r="AR17" s="60"/>
      <c r="AS17" s="31"/>
      <c r="AT17" s="61"/>
    </row>
    <row r="18" ht="24.0" customHeight="1">
      <c r="A18" s="62"/>
      <c r="B18" s="51" t="str">
        <f>VLOOKUP(C18,[1]Saldo!A17:B31290,2,0)</f>
        <v>#ERROR!</v>
      </c>
      <c r="C18" s="88" t="s">
        <v>1074</v>
      </c>
      <c r="D18" s="88" t="str">
        <f t="shared" si="3"/>
        <v>#REF!</v>
      </c>
      <c r="E18" s="137" t="str">
        <f t="shared" si="4"/>
        <v>#REF!</v>
      </c>
      <c r="F18" s="88" t="str">
        <f t="shared" si="5"/>
        <v>#REF!</v>
      </c>
      <c r="G18" s="128">
        <f>'PAINEL DE CONTROLE'!$G$8</f>
        <v>29012</v>
      </c>
      <c r="H18" s="128">
        <v>25198.0</v>
      </c>
      <c r="I18" s="128" t="str">
        <f t="shared" si="1"/>
        <v>#REF!</v>
      </c>
      <c r="J18" s="128" t="str">
        <f t="shared" si="2"/>
        <v>#REF!</v>
      </c>
      <c r="K18" s="60"/>
      <c r="L18" s="31"/>
      <c r="M18" s="61"/>
      <c r="N18" s="60"/>
      <c r="O18" s="31"/>
      <c r="P18" s="61"/>
      <c r="Q18" s="60"/>
      <c r="R18" s="31"/>
      <c r="S18" s="61"/>
      <c r="T18" s="60"/>
      <c r="U18" s="31"/>
      <c r="V18" s="61"/>
      <c r="W18" s="60"/>
      <c r="X18" s="31"/>
      <c r="Y18" s="61"/>
      <c r="Z18" s="60"/>
      <c r="AA18" s="31"/>
      <c r="AB18" s="61"/>
      <c r="AC18" s="60"/>
      <c r="AD18" s="31"/>
      <c r="AE18" s="61"/>
      <c r="AF18" s="60"/>
      <c r="AG18" s="31"/>
      <c r="AH18" s="61"/>
      <c r="AI18" s="60"/>
      <c r="AJ18" s="31"/>
      <c r="AK18" s="61"/>
      <c r="AL18" s="60"/>
      <c r="AM18" s="31"/>
      <c r="AN18" s="61"/>
      <c r="AO18" s="60"/>
      <c r="AP18" s="31"/>
      <c r="AQ18" s="61"/>
      <c r="AR18" s="60"/>
      <c r="AS18" s="31"/>
      <c r="AT18" s="61"/>
    </row>
    <row r="19" ht="24.0" customHeight="1">
      <c r="A19" s="62"/>
      <c r="B19" s="51" t="str">
        <f>VLOOKUP(C19,[1]Saldo!A18:B31291,2,0)</f>
        <v>#ERROR!</v>
      </c>
      <c r="C19" s="88" t="s">
        <v>1075</v>
      </c>
      <c r="D19" s="88" t="str">
        <f t="shared" si="3"/>
        <v>#REF!</v>
      </c>
      <c r="E19" s="137" t="str">
        <f t="shared" si="4"/>
        <v>#REF!</v>
      </c>
      <c r="F19" s="88" t="str">
        <f t="shared" si="5"/>
        <v>#REF!</v>
      </c>
      <c r="G19" s="128">
        <f>'PAINEL DE CONTROLE'!$G$8</f>
        <v>29012</v>
      </c>
      <c r="H19" s="128">
        <v>25198.0</v>
      </c>
      <c r="I19" s="128" t="str">
        <f t="shared" si="1"/>
        <v>#REF!</v>
      </c>
      <c r="J19" s="128" t="str">
        <f t="shared" si="2"/>
        <v>#REF!</v>
      </c>
      <c r="K19" s="60"/>
      <c r="L19" s="31"/>
      <c r="M19" s="61"/>
      <c r="N19" s="60"/>
      <c r="O19" s="31"/>
      <c r="P19" s="61"/>
      <c r="Q19" s="60"/>
      <c r="R19" s="31"/>
      <c r="S19" s="61"/>
      <c r="T19" s="60"/>
      <c r="U19" s="31"/>
      <c r="V19" s="61"/>
      <c r="W19" s="60"/>
      <c r="X19" s="31"/>
      <c r="Y19" s="61"/>
      <c r="Z19" s="60"/>
      <c r="AA19" s="31"/>
      <c r="AB19" s="61"/>
      <c r="AC19" s="60"/>
      <c r="AD19" s="31"/>
      <c r="AE19" s="61"/>
      <c r="AF19" s="60"/>
      <c r="AG19" s="31"/>
      <c r="AH19" s="61"/>
      <c r="AI19" s="60"/>
      <c r="AJ19" s="31"/>
      <c r="AK19" s="61"/>
      <c r="AL19" s="60"/>
      <c r="AM19" s="31"/>
      <c r="AN19" s="61"/>
      <c r="AO19" s="60"/>
      <c r="AP19" s="31"/>
      <c r="AQ19" s="61"/>
      <c r="AR19" s="60"/>
      <c r="AS19" s="31"/>
      <c r="AT19" s="61"/>
    </row>
    <row r="20" ht="24.0" customHeight="1">
      <c r="A20" s="62"/>
      <c r="B20" s="51" t="str">
        <f>VLOOKUP(C20,[1]Saldo!A19:B31292,2,0)</f>
        <v>#ERROR!</v>
      </c>
      <c r="C20" s="88" t="s">
        <v>1076</v>
      </c>
      <c r="D20" s="88" t="str">
        <f t="shared" si="3"/>
        <v>#REF!</v>
      </c>
      <c r="E20" s="137" t="str">
        <f t="shared" si="4"/>
        <v>#REF!</v>
      </c>
      <c r="F20" s="88" t="str">
        <f t="shared" si="5"/>
        <v>#REF!</v>
      </c>
      <c r="G20" s="128">
        <f>'PAINEL DE CONTROLE'!$G$8</f>
        <v>29012</v>
      </c>
      <c r="H20" s="128">
        <v>25198.0</v>
      </c>
      <c r="I20" s="128" t="str">
        <f t="shared" si="1"/>
        <v>#REF!</v>
      </c>
      <c r="J20" s="128" t="str">
        <f t="shared" si="2"/>
        <v>#REF!</v>
      </c>
      <c r="K20" s="60"/>
      <c r="L20" s="31"/>
      <c r="M20" s="61"/>
      <c r="N20" s="60"/>
      <c r="O20" s="31"/>
      <c r="P20" s="61"/>
      <c r="Q20" s="60"/>
      <c r="R20" s="31"/>
      <c r="S20" s="61"/>
      <c r="T20" s="60"/>
      <c r="U20" s="31"/>
      <c r="V20" s="61"/>
      <c r="W20" s="60"/>
      <c r="X20" s="31"/>
      <c r="Y20" s="61"/>
      <c r="Z20" s="60"/>
      <c r="AA20" s="31"/>
      <c r="AB20" s="61"/>
      <c r="AC20" s="60"/>
      <c r="AD20" s="31"/>
      <c r="AE20" s="61"/>
      <c r="AF20" s="60"/>
      <c r="AG20" s="31"/>
      <c r="AH20" s="61"/>
      <c r="AI20" s="60"/>
      <c r="AJ20" s="31"/>
      <c r="AK20" s="61"/>
      <c r="AL20" s="60"/>
      <c r="AM20" s="31"/>
      <c r="AN20" s="61"/>
      <c r="AO20" s="60"/>
      <c r="AP20" s="31"/>
      <c r="AQ20" s="61"/>
      <c r="AR20" s="60"/>
      <c r="AS20" s="31"/>
      <c r="AT20" s="61"/>
    </row>
    <row r="21" ht="24.0" customHeight="1">
      <c r="A21" s="62"/>
      <c r="B21" s="51" t="str">
        <f>VLOOKUP(C21,[1]Saldo!A20:B31293,2,0)</f>
        <v>#ERROR!</v>
      </c>
      <c r="C21" s="88" t="s">
        <v>1077</v>
      </c>
      <c r="D21" s="88" t="str">
        <f t="shared" si="3"/>
        <v>#REF!</v>
      </c>
      <c r="E21" s="137" t="str">
        <f t="shared" si="4"/>
        <v>#REF!</v>
      </c>
      <c r="F21" s="88" t="str">
        <f t="shared" si="5"/>
        <v>#REF!</v>
      </c>
      <c r="G21" s="128">
        <f>'PAINEL DE CONTROLE'!$G$8</f>
        <v>29012</v>
      </c>
      <c r="H21" s="128">
        <v>25198.0</v>
      </c>
      <c r="I21" s="128" t="str">
        <f t="shared" si="1"/>
        <v>#REF!</v>
      </c>
      <c r="J21" s="128" t="str">
        <f t="shared" si="2"/>
        <v>#REF!</v>
      </c>
      <c r="K21" s="60"/>
      <c r="L21" s="31"/>
      <c r="M21" s="61"/>
      <c r="N21" s="60"/>
      <c r="O21" s="31"/>
      <c r="P21" s="61"/>
      <c r="Q21" s="60"/>
      <c r="R21" s="31"/>
      <c r="S21" s="61"/>
      <c r="T21" s="60"/>
      <c r="U21" s="31"/>
      <c r="V21" s="61"/>
      <c r="W21" s="60"/>
      <c r="X21" s="31"/>
      <c r="Y21" s="61"/>
      <c r="Z21" s="60"/>
      <c r="AA21" s="31"/>
      <c r="AB21" s="61"/>
      <c r="AC21" s="60"/>
      <c r="AD21" s="31"/>
      <c r="AE21" s="61"/>
      <c r="AF21" s="60"/>
      <c r="AG21" s="31"/>
      <c r="AH21" s="61"/>
      <c r="AI21" s="60"/>
      <c r="AJ21" s="31"/>
      <c r="AK21" s="61"/>
      <c r="AL21" s="60"/>
      <c r="AM21" s="31"/>
      <c r="AN21" s="61"/>
      <c r="AO21" s="60"/>
      <c r="AP21" s="31"/>
      <c r="AQ21" s="61"/>
      <c r="AR21" s="60"/>
      <c r="AS21" s="31"/>
      <c r="AT21" s="61"/>
    </row>
    <row r="22" ht="24.0" customHeight="1">
      <c r="A22" s="63"/>
      <c r="B22" s="51" t="str">
        <f>VLOOKUP(C22,[1]Saldo!A21:B31294,2,0)</f>
        <v>#ERROR!</v>
      </c>
      <c r="C22" s="88" t="s">
        <v>1078</v>
      </c>
      <c r="D22" s="88" t="str">
        <f t="shared" si="3"/>
        <v>#REF!</v>
      </c>
      <c r="E22" s="137" t="str">
        <f t="shared" si="4"/>
        <v>#REF!</v>
      </c>
      <c r="F22" s="88" t="str">
        <f t="shared" si="5"/>
        <v>#REF!</v>
      </c>
      <c r="G22" s="128">
        <f>'PAINEL DE CONTROLE'!$G$8</f>
        <v>29012</v>
      </c>
      <c r="H22" s="128">
        <v>25198.0</v>
      </c>
      <c r="I22" s="128" t="str">
        <f t="shared" si="1"/>
        <v>#REF!</v>
      </c>
      <c r="J22" s="128" t="str">
        <f t="shared" si="2"/>
        <v>#REF!</v>
      </c>
      <c r="K22" s="60"/>
      <c r="L22" s="31"/>
      <c r="M22" s="61"/>
      <c r="N22" s="60"/>
      <c r="O22" s="31"/>
      <c r="P22" s="61"/>
      <c r="Q22" s="60"/>
      <c r="R22" s="31"/>
      <c r="S22" s="61"/>
      <c r="T22" s="60"/>
      <c r="U22" s="31"/>
      <c r="V22" s="61"/>
      <c r="W22" s="60"/>
      <c r="X22" s="31"/>
      <c r="Y22" s="61"/>
      <c r="Z22" s="60"/>
      <c r="AA22" s="31"/>
      <c r="AB22" s="61"/>
      <c r="AC22" s="60"/>
      <c r="AD22" s="31"/>
      <c r="AE22" s="61"/>
      <c r="AF22" s="60"/>
      <c r="AG22" s="31"/>
      <c r="AH22" s="61"/>
      <c r="AI22" s="60"/>
      <c r="AJ22" s="31"/>
      <c r="AK22" s="61"/>
      <c r="AL22" s="60"/>
      <c r="AM22" s="31"/>
      <c r="AN22" s="61"/>
      <c r="AO22" s="60"/>
      <c r="AP22" s="31"/>
      <c r="AQ22" s="61"/>
      <c r="AR22" s="60"/>
      <c r="AS22" s="31"/>
      <c r="AT22" s="61"/>
    </row>
    <row r="23" ht="45.75" customHeight="1">
      <c r="A23" s="51" t="s">
        <v>1079</v>
      </c>
      <c r="B23" s="51" t="str">
        <f>VLOOKUP(C23,[1]Saldo!A22:B31295,2,0)</f>
        <v>#ERROR!</v>
      </c>
      <c r="C23" s="88" t="s">
        <v>1080</v>
      </c>
      <c r="D23" s="88" t="str">
        <f t="shared" si="3"/>
        <v>#REF!</v>
      </c>
      <c r="E23" s="137" t="str">
        <f t="shared" si="4"/>
        <v>#REF!</v>
      </c>
      <c r="F23" s="88" t="str">
        <f t="shared" si="5"/>
        <v>#REF!</v>
      </c>
      <c r="G23" s="128">
        <f>'PAINEL DE CONTROLE'!$G$8</f>
        <v>29012</v>
      </c>
      <c r="H23" s="128">
        <v>25198.0</v>
      </c>
      <c r="I23" s="128" t="str">
        <f t="shared" si="1"/>
        <v>#REF!</v>
      </c>
      <c r="J23" s="128" t="str">
        <f t="shared" si="2"/>
        <v>#REF!</v>
      </c>
      <c r="K23" s="60"/>
      <c r="L23" s="31"/>
      <c r="M23" s="61"/>
      <c r="N23" s="60"/>
      <c r="O23" s="31"/>
      <c r="P23" s="61"/>
      <c r="Q23" s="60"/>
      <c r="R23" s="31"/>
      <c r="S23" s="61"/>
      <c r="T23" s="60"/>
      <c r="U23" s="31"/>
      <c r="V23" s="61"/>
      <c r="W23" s="60"/>
      <c r="X23" s="31"/>
      <c r="Y23" s="61"/>
      <c r="Z23" s="60"/>
      <c r="AA23" s="31"/>
      <c r="AB23" s="61"/>
      <c r="AC23" s="60"/>
      <c r="AD23" s="31"/>
      <c r="AE23" s="61"/>
      <c r="AF23" s="60"/>
      <c r="AG23" s="31"/>
      <c r="AH23" s="61"/>
      <c r="AI23" s="60"/>
      <c r="AJ23" s="31"/>
      <c r="AK23" s="61"/>
      <c r="AL23" s="60"/>
      <c r="AM23" s="31"/>
      <c r="AN23" s="61"/>
      <c r="AO23" s="60"/>
      <c r="AP23" s="31"/>
      <c r="AQ23" s="61"/>
      <c r="AR23" s="60"/>
      <c r="AS23" s="31"/>
      <c r="AT23" s="61"/>
    </row>
    <row r="24" ht="24.0" customHeight="1">
      <c r="A24" s="64" t="s">
        <v>1081</v>
      </c>
      <c r="B24" s="51" t="str">
        <f>VLOOKUP(C24,[1]Saldo!A23:B31296,2,0)</f>
        <v>#ERROR!</v>
      </c>
      <c r="C24" s="88" t="s">
        <v>1082</v>
      </c>
      <c r="D24" s="88" t="str">
        <f t="shared" si="3"/>
        <v>#REF!</v>
      </c>
      <c r="E24" s="137" t="str">
        <f t="shared" si="4"/>
        <v>#REF!</v>
      </c>
      <c r="F24" s="88" t="str">
        <f t="shared" si="5"/>
        <v>#REF!</v>
      </c>
      <c r="G24" s="128">
        <f>'PAINEL DE CONTROLE'!$G$8</f>
        <v>29012</v>
      </c>
      <c r="H24" s="128">
        <v>25198.0</v>
      </c>
      <c r="I24" s="128" t="str">
        <f t="shared" si="1"/>
        <v>#REF!</v>
      </c>
      <c r="J24" s="128" t="str">
        <f t="shared" si="2"/>
        <v>#REF!</v>
      </c>
      <c r="K24" s="60"/>
      <c r="L24" s="31"/>
      <c r="M24" s="61"/>
      <c r="N24" s="60"/>
      <c r="O24" s="31"/>
      <c r="P24" s="61"/>
      <c r="Q24" s="60"/>
      <c r="R24" s="31"/>
      <c r="S24" s="61"/>
      <c r="T24" s="60"/>
      <c r="U24" s="31"/>
      <c r="V24" s="61"/>
      <c r="W24" s="60"/>
      <c r="X24" s="31"/>
      <c r="Y24" s="61"/>
      <c r="Z24" s="60"/>
      <c r="AA24" s="31"/>
      <c r="AB24" s="61"/>
      <c r="AC24" s="60"/>
      <c r="AD24" s="31"/>
      <c r="AE24" s="61"/>
      <c r="AF24" s="60"/>
      <c r="AG24" s="31"/>
      <c r="AH24" s="61"/>
      <c r="AI24" s="60"/>
      <c r="AJ24" s="31"/>
      <c r="AK24" s="61"/>
      <c r="AL24" s="60"/>
      <c r="AM24" s="31"/>
      <c r="AN24" s="61"/>
      <c r="AO24" s="60"/>
      <c r="AP24" s="31"/>
      <c r="AQ24" s="61"/>
      <c r="AR24" s="60"/>
      <c r="AS24" s="31"/>
      <c r="AT24" s="61"/>
    </row>
    <row r="25" ht="24.0" customHeight="1">
      <c r="A25" s="62"/>
      <c r="B25" s="51" t="str">
        <f>VLOOKUP(C25,[1]Saldo!A24:B31297,2,0)</f>
        <v>#ERROR!</v>
      </c>
      <c r="C25" s="88" t="s">
        <v>1083</v>
      </c>
      <c r="D25" s="88" t="str">
        <f t="shared" si="3"/>
        <v>#REF!</v>
      </c>
      <c r="E25" s="137" t="str">
        <f t="shared" si="4"/>
        <v>#REF!</v>
      </c>
      <c r="F25" s="88" t="str">
        <f t="shared" si="5"/>
        <v>#REF!</v>
      </c>
      <c r="G25" s="128">
        <f>'PAINEL DE CONTROLE'!$G$8</f>
        <v>29012</v>
      </c>
      <c r="H25" s="128">
        <v>25198.0</v>
      </c>
      <c r="I25" s="128" t="str">
        <f t="shared" si="1"/>
        <v>#REF!</v>
      </c>
      <c r="J25" s="128" t="str">
        <f t="shared" si="2"/>
        <v>#REF!</v>
      </c>
      <c r="K25" s="60"/>
      <c r="L25" s="31"/>
      <c r="M25" s="61"/>
      <c r="N25" s="60"/>
      <c r="O25" s="31"/>
      <c r="P25" s="61"/>
      <c r="Q25" s="60"/>
      <c r="R25" s="31"/>
      <c r="S25" s="61"/>
      <c r="T25" s="60"/>
      <c r="U25" s="31"/>
      <c r="V25" s="61"/>
      <c r="W25" s="60"/>
      <c r="X25" s="31"/>
      <c r="Y25" s="61"/>
      <c r="Z25" s="60"/>
      <c r="AA25" s="31"/>
      <c r="AB25" s="61"/>
      <c r="AC25" s="60"/>
      <c r="AD25" s="31"/>
      <c r="AE25" s="61"/>
      <c r="AF25" s="60"/>
      <c r="AG25" s="31"/>
      <c r="AH25" s="61"/>
      <c r="AI25" s="60"/>
      <c r="AJ25" s="31"/>
      <c r="AK25" s="61"/>
      <c r="AL25" s="60"/>
      <c r="AM25" s="31"/>
      <c r="AN25" s="61"/>
      <c r="AO25" s="60"/>
      <c r="AP25" s="31"/>
      <c r="AQ25" s="61"/>
      <c r="AR25" s="60"/>
      <c r="AS25" s="31"/>
      <c r="AT25" s="61"/>
    </row>
    <row r="26" ht="24.0" customHeight="1">
      <c r="A26" s="62"/>
      <c r="B26" s="51" t="str">
        <f>VLOOKUP(C26,[1]Saldo!A25:B31298,2,0)</f>
        <v>#ERROR!</v>
      </c>
      <c r="C26" s="88" t="s">
        <v>1084</v>
      </c>
      <c r="D26" s="88" t="str">
        <f t="shared" si="3"/>
        <v>#REF!</v>
      </c>
      <c r="E26" s="137" t="str">
        <f t="shared" si="4"/>
        <v>#REF!</v>
      </c>
      <c r="F26" s="88" t="str">
        <f t="shared" si="5"/>
        <v>#REF!</v>
      </c>
      <c r="G26" s="128">
        <f>'PAINEL DE CONTROLE'!$G$8</f>
        <v>29012</v>
      </c>
      <c r="H26" s="128">
        <v>25198.0</v>
      </c>
      <c r="I26" s="128" t="str">
        <f t="shared" si="1"/>
        <v>#REF!</v>
      </c>
      <c r="J26" s="128" t="str">
        <f t="shared" si="2"/>
        <v>#REF!</v>
      </c>
      <c r="K26" s="60"/>
      <c r="L26" s="31"/>
      <c r="M26" s="61"/>
      <c r="N26" s="60"/>
      <c r="O26" s="31"/>
      <c r="P26" s="61"/>
      <c r="Q26" s="60"/>
      <c r="R26" s="31"/>
      <c r="S26" s="61"/>
      <c r="T26" s="60"/>
      <c r="U26" s="31"/>
      <c r="V26" s="61"/>
      <c r="W26" s="60"/>
      <c r="X26" s="31"/>
      <c r="Y26" s="61"/>
      <c r="Z26" s="60"/>
      <c r="AA26" s="31"/>
      <c r="AB26" s="61"/>
      <c r="AC26" s="60"/>
      <c r="AD26" s="31"/>
      <c r="AE26" s="61"/>
      <c r="AF26" s="60"/>
      <c r="AG26" s="31"/>
      <c r="AH26" s="61"/>
      <c r="AI26" s="60"/>
      <c r="AJ26" s="31"/>
      <c r="AK26" s="61"/>
      <c r="AL26" s="60"/>
      <c r="AM26" s="31"/>
      <c r="AN26" s="61"/>
      <c r="AO26" s="60"/>
      <c r="AP26" s="31"/>
      <c r="AQ26" s="61"/>
      <c r="AR26" s="60"/>
      <c r="AS26" s="31"/>
      <c r="AT26" s="61"/>
    </row>
    <row r="27" ht="24.0" customHeight="1">
      <c r="A27" s="62"/>
      <c r="B27" s="51" t="str">
        <f>VLOOKUP(C27,[1]Saldo!A26:B31299,2,0)</f>
        <v>#ERROR!</v>
      </c>
      <c r="C27" s="88" t="s">
        <v>1085</v>
      </c>
      <c r="D27" s="88" t="str">
        <f t="shared" si="3"/>
        <v>#REF!</v>
      </c>
      <c r="E27" s="137" t="str">
        <f t="shared" si="4"/>
        <v>#REF!</v>
      </c>
      <c r="F27" s="88" t="str">
        <f t="shared" si="5"/>
        <v>#REF!</v>
      </c>
      <c r="G27" s="128">
        <f>'PAINEL DE CONTROLE'!$G$8</f>
        <v>29012</v>
      </c>
      <c r="H27" s="128">
        <v>25198.0</v>
      </c>
      <c r="I27" s="128" t="str">
        <f t="shared" si="1"/>
        <v>#REF!</v>
      </c>
      <c r="J27" s="128" t="str">
        <f t="shared" si="2"/>
        <v>#REF!</v>
      </c>
      <c r="K27" s="60"/>
      <c r="L27" s="31"/>
      <c r="M27" s="61"/>
      <c r="N27" s="60"/>
      <c r="O27" s="31"/>
      <c r="P27" s="61"/>
      <c r="Q27" s="60"/>
      <c r="R27" s="31"/>
      <c r="S27" s="61"/>
      <c r="T27" s="60"/>
      <c r="U27" s="31"/>
      <c r="V27" s="61"/>
      <c r="W27" s="60"/>
      <c r="X27" s="31"/>
      <c r="Y27" s="61"/>
      <c r="Z27" s="60"/>
      <c r="AA27" s="31"/>
      <c r="AB27" s="61"/>
      <c r="AC27" s="60"/>
      <c r="AD27" s="31"/>
      <c r="AE27" s="61"/>
      <c r="AF27" s="60"/>
      <c r="AG27" s="31"/>
      <c r="AH27" s="61"/>
      <c r="AI27" s="60"/>
      <c r="AJ27" s="31"/>
      <c r="AK27" s="61"/>
      <c r="AL27" s="60"/>
      <c r="AM27" s="31"/>
      <c r="AN27" s="61"/>
      <c r="AO27" s="60"/>
      <c r="AP27" s="31"/>
      <c r="AQ27" s="61"/>
      <c r="AR27" s="60"/>
      <c r="AS27" s="31"/>
      <c r="AT27" s="61"/>
    </row>
    <row r="28" ht="24.0" customHeight="1">
      <c r="A28" s="62"/>
      <c r="B28" s="51" t="str">
        <f>VLOOKUP(C28,[1]Saldo!A27:B31300,2,0)</f>
        <v>#ERROR!</v>
      </c>
      <c r="C28" s="88" t="s">
        <v>1086</v>
      </c>
      <c r="D28" s="88" t="str">
        <f t="shared" si="3"/>
        <v>#REF!</v>
      </c>
      <c r="E28" s="137" t="str">
        <f t="shared" si="4"/>
        <v>#REF!</v>
      </c>
      <c r="F28" s="88" t="str">
        <f t="shared" si="5"/>
        <v>#REF!</v>
      </c>
      <c r="G28" s="128">
        <f>'PAINEL DE CONTROLE'!$G$8</f>
        <v>29012</v>
      </c>
      <c r="H28" s="128">
        <v>25198.0</v>
      </c>
      <c r="I28" s="128" t="str">
        <f t="shared" si="1"/>
        <v>#REF!</v>
      </c>
      <c r="J28" s="128" t="str">
        <f t="shared" si="2"/>
        <v>#REF!</v>
      </c>
      <c r="K28" s="60"/>
      <c r="L28" s="31"/>
      <c r="M28" s="61"/>
      <c r="N28" s="60"/>
      <c r="O28" s="31"/>
      <c r="P28" s="61"/>
      <c r="Q28" s="60"/>
      <c r="R28" s="31"/>
      <c r="S28" s="61"/>
      <c r="T28" s="60"/>
      <c r="U28" s="31"/>
      <c r="V28" s="61"/>
      <c r="W28" s="60"/>
      <c r="X28" s="31"/>
      <c r="Y28" s="61"/>
      <c r="Z28" s="60"/>
      <c r="AA28" s="31"/>
      <c r="AB28" s="61"/>
      <c r="AC28" s="60"/>
      <c r="AD28" s="31"/>
      <c r="AE28" s="61"/>
      <c r="AF28" s="60"/>
      <c r="AG28" s="31"/>
      <c r="AH28" s="61"/>
      <c r="AI28" s="60"/>
      <c r="AJ28" s="31"/>
      <c r="AK28" s="61"/>
      <c r="AL28" s="60"/>
      <c r="AM28" s="31"/>
      <c r="AN28" s="61"/>
      <c r="AO28" s="60"/>
      <c r="AP28" s="31"/>
      <c r="AQ28" s="61"/>
      <c r="AR28" s="60"/>
      <c r="AS28" s="31"/>
      <c r="AT28" s="61"/>
    </row>
    <row r="29" ht="24.0" customHeight="1">
      <c r="A29" s="62"/>
      <c r="B29" s="51" t="str">
        <f>VLOOKUP(C29,[1]Saldo!A28:B31301,2,0)</f>
        <v>#ERROR!</v>
      </c>
      <c r="C29" s="88" t="s">
        <v>1087</v>
      </c>
      <c r="D29" s="88" t="str">
        <f t="shared" si="3"/>
        <v>#REF!</v>
      </c>
      <c r="E29" s="137" t="str">
        <f t="shared" si="4"/>
        <v>#REF!</v>
      </c>
      <c r="F29" s="88" t="str">
        <f t="shared" si="5"/>
        <v>#REF!</v>
      </c>
      <c r="G29" s="128">
        <f>'PAINEL DE CONTROLE'!$G$8</f>
        <v>29012</v>
      </c>
      <c r="H29" s="128">
        <v>25198.0</v>
      </c>
      <c r="I29" s="128" t="str">
        <f t="shared" si="1"/>
        <v>#REF!</v>
      </c>
      <c r="J29" s="128" t="str">
        <f t="shared" si="2"/>
        <v>#REF!</v>
      </c>
      <c r="K29" s="60"/>
      <c r="L29" s="31"/>
      <c r="M29" s="61"/>
      <c r="N29" s="60"/>
      <c r="O29" s="31"/>
      <c r="P29" s="61"/>
      <c r="Q29" s="60"/>
      <c r="R29" s="31"/>
      <c r="S29" s="61"/>
      <c r="T29" s="60"/>
      <c r="U29" s="31"/>
      <c r="V29" s="61"/>
      <c r="W29" s="60"/>
      <c r="X29" s="31"/>
      <c r="Y29" s="61"/>
      <c r="Z29" s="60"/>
      <c r="AA29" s="31"/>
      <c r="AB29" s="61"/>
      <c r="AC29" s="60"/>
      <c r="AD29" s="31"/>
      <c r="AE29" s="61"/>
      <c r="AF29" s="60"/>
      <c r="AG29" s="31"/>
      <c r="AH29" s="61"/>
      <c r="AI29" s="60"/>
      <c r="AJ29" s="31"/>
      <c r="AK29" s="61"/>
      <c r="AL29" s="60"/>
      <c r="AM29" s="31"/>
      <c r="AN29" s="61"/>
      <c r="AO29" s="60"/>
      <c r="AP29" s="31"/>
      <c r="AQ29" s="61"/>
      <c r="AR29" s="60"/>
      <c r="AS29" s="31"/>
      <c r="AT29" s="61"/>
    </row>
    <row r="30" ht="24.0" customHeight="1">
      <c r="A30" s="62"/>
      <c r="B30" s="51" t="str">
        <f>VLOOKUP(C30,[1]Saldo!A29:B31302,2,0)</f>
        <v>#ERROR!</v>
      </c>
      <c r="C30" s="88" t="s">
        <v>1088</v>
      </c>
      <c r="D30" s="88" t="str">
        <f t="shared" si="3"/>
        <v>#REF!</v>
      </c>
      <c r="E30" s="137" t="str">
        <f t="shared" si="4"/>
        <v>#REF!</v>
      </c>
      <c r="F30" s="88" t="str">
        <f t="shared" si="5"/>
        <v>#REF!</v>
      </c>
      <c r="G30" s="128">
        <f>'PAINEL DE CONTROLE'!$G$8</f>
        <v>29012</v>
      </c>
      <c r="H30" s="128">
        <v>25198.0</v>
      </c>
      <c r="I30" s="128" t="str">
        <f t="shared" si="1"/>
        <v>#REF!</v>
      </c>
      <c r="J30" s="128" t="str">
        <f t="shared" si="2"/>
        <v>#REF!</v>
      </c>
      <c r="K30" s="60"/>
      <c r="L30" s="31"/>
      <c r="M30" s="61"/>
      <c r="N30" s="60"/>
      <c r="O30" s="31"/>
      <c r="P30" s="61"/>
      <c r="Q30" s="60"/>
      <c r="R30" s="31"/>
      <c r="S30" s="61"/>
      <c r="T30" s="60"/>
      <c r="U30" s="31"/>
      <c r="V30" s="61"/>
      <c r="W30" s="60"/>
      <c r="X30" s="31"/>
      <c r="Y30" s="61"/>
      <c r="Z30" s="60"/>
      <c r="AA30" s="31"/>
      <c r="AB30" s="61"/>
      <c r="AC30" s="60"/>
      <c r="AD30" s="31"/>
      <c r="AE30" s="61"/>
      <c r="AF30" s="60"/>
      <c r="AG30" s="31"/>
      <c r="AH30" s="61"/>
      <c r="AI30" s="60"/>
      <c r="AJ30" s="31"/>
      <c r="AK30" s="61"/>
      <c r="AL30" s="60"/>
      <c r="AM30" s="31"/>
      <c r="AN30" s="61"/>
      <c r="AO30" s="60"/>
      <c r="AP30" s="31"/>
      <c r="AQ30" s="61"/>
      <c r="AR30" s="60"/>
      <c r="AS30" s="31"/>
      <c r="AT30" s="61"/>
    </row>
    <row r="31" ht="24.0" customHeight="1">
      <c r="A31" s="62"/>
      <c r="B31" s="51" t="str">
        <f>VLOOKUP(C31,[1]Saldo!A30:B31303,2,0)</f>
        <v>#ERROR!</v>
      </c>
      <c r="C31" s="88" t="s">
        <v>1089</v>
      </c>
      <c r="D31" s="88" t="str">
        <f t="shared" si="3"/>
        <v>#REF!</v>
      </c>
      <c r="E31" s="137" t="str">
        <f t="shared" si="4"/>
        <v>#REF!</v>
      </c>
      <c r="F31" s="88" t="str">
        <f t="shared" si="5"/>
        <v>#REF!</v>
      </c>
      <c r="G31" s="128">
        <f>'PAINEL DE CONTROLE'!$G$8</f>
        <v>29012</v>
      </c>
      <c r="H31" s="128">
        <v>25198.0</v>
      </c>
      <c r="I31" s="128" t="str">
        <f t="shared" si="1"/>
        <v>#REF!</v>
      </c>
      <c r="J31" s="128" t="str">
        <f t="shared" si="2"/>
        <v>#REF!</v>
      </c>
      <c r="K31" s="60"/>
      <c r="L31" s="31"/>
      <c r="M31" s="61"/>
      <c r="N31" s="60"/>
      <c r="O31" s="31"/>
      <c r="P31" s="61"/>
      <c r="Q31" s="60"/>
      <c r="R31" s="31"/>
      <c r="S31" s="61"/>
      <c r="T31" s="60"/>
      <c r="U31" s="31"/>
      <c r="V31" s="61"/>
      <c r="W31" s="60"/>
      <c r="X31" s="31"/>
      <c r="Y31" s="61"/>
      <c r="Z31" s="60"/>
      <c r="AA31" s="31"/>
      <c r="AB31" s="61"/>
      <c r="AC31" s="60"/>
      <c r="AD31" s="31"/>
      <c r="AE31" s="61"/>
      <c r="AF31" s="60"/>
      <c r="AG31" s="31"/>
      <c r="AH31" s="61"/>
      <c r="AI31" s="60"/>
      <c r="AJ31" s="31"/>
      <c r="AK31" s="61"/>
      <c r="AL31" s="60"/>
      <c r="AM31" s="31"/>
      <c r="AN31" s="61"/>
      <c r="AO31" s="60"/>
      <c r="AP31" s="31"/>
      <c r="AQ31" s="61"/>
      <c r="AR31" s="60"/>
      <c r="AS31" s="31"/>
      <c r="AT31" s="61"/>
    </row>
    <row r="32" ht="24.0" customHeight="1">
      <c r="A32" s="62"/>
      <c r="B32" s="51" t="str">
        <f>VLOOKUP(C32,[1]Saldo!A31:B31304,2,0)</f>
        <v>#ERROR!</v>
      </c>
      <c r="C32" s="88" t="s">
        <v>1090</v>
      </c>
      <c r="D32" s="88" t="str">
        <f t="shared" si="3"/>
        <v>#REF!</v>
      </c>
      <c r="E32" s="137" t="str">
        <f t="shared" si="4"/>
        <v>#REF!</v>
      </c>
      <c r="F32" s="88" t="str">
        <f t="shared" si="5"/>
        <v>#REF!</v>
      </c>
      <c r="G32" s="128">
        <f>'PAINEL DE CONTROLE'!$G$8</f>
        <v>29012</v>
      </c>
      <c r="H32" s="128">
        <v>25198.0</v>
      </c>
      <c r="I32" s="128" t="str">
        <f t="shared" si="1"/>
        <v>#REF!</v>
      </c>
      <c r="J32" s="128" t="str">
        <f t="shared" si="2"/>
        <v>#REF!</v>
      </c>
      <c r="K32" s="60"/>
      <c r="L32" s="31"/>
      <c r="M32" s="61"/>
      <c r="N32" s="60"/>
      <c r="O32" s="31"/>
      <c r="P32" s="61"/>
      <c r="Q32" s="60"/>
      <c r="R32" s="31"/>
      <c r="S32" s="61"/>
      <c r="T32" s="60"/>
      <c r="U32" s="31"/>
      <c r="V32" s="61"/>
      <c r="W32" s="60"/>
      <c r="X32" s="31"/>
      <c r="Y32" s="61"/>
      <c r="Z32" s="60"/>
      <c r="AA32" s="31"/>
      <c r="AB32" s="61"/>
      <c r="AC32" s="60"/>
      <c r="AD32" s="31"/>
      <c r="AE32" s="61"/>
      <c r="AF32" s="60"/>
      <c r="AG32" s="31"/>
      <c r="AH32" s="61"/>
      <c r="AI32" s="60"/>
      <c r="AJ32" s="31"/>
      <c r="AK32" s="61"/>
      <c r="AL32" s="60"/>
      <c r="AM32" s="31"/>
      <c r="AN32" s="61"/>
      <c r="AO32" s="60"/>
      <c r="AP32" s="31"/>
      <c r="AQ32" s="61"/>
      <c r="AR32" s="60"/>
      <c r="AS32" s="31"/>
      <c r="AT32" s="61"/>
    </row>
    <row r="33" ht="24.0" customHeight="1">
      <c r="A33" s="63"/>
      <c r="B33" s="51" t="str">
        <f>VLOOKUP(C33,[1]Saldo!A32:B31305,2,0)</f>
        <v>#ERROR!</v>
      </c>
      <c r="C33" s="88" t="s">
        <v>1091</v>
      </c>
      <c r="D33" s="88" t="str">
        <f t="shared" si="3"/>
        <v>#REF!</v>
      </c>
      <c r="E33" s="137" t="str">
        <f t="shared" si="4"/>
        <v>#REF!</v>
      </c>
      <c r="F33" s="88" t="str">
        <f t="shared" si="5"/>
        <v>#REF!</v>
      </c>
      <c r="G33" s="128">
        <f>'PAINEL DE CONTROLE'!$G$8</f>
        <v>29012</v>
      </c>
      <c r="H33" s="128">
        <v>25198.0</v>
      </c>
      <c r="I33" s="128" t="str">
        <f t="shared" si="1"/>
        <v>#REF!</v>
      </c>
      <c r="J33" s="128" t="str">
        <f t="shared" si="2"/>
        <v>#REF!</v>
      </c>
      <c r="K33" s="60"/>
      <c r="L33" s="31"/>
      <c r="M33" s="61"/>
      <c r="N33" s="60"/>
      <c r="O33" s="31"/>
      <c r="P33" s="61"/>
      <c r="Q33" s="60"/>
      <c r="R33" s="31"/>
      <c r="S33" s="61"/>
      <c r="T33" s="60"/>
      <c r="U33" s="31"/>
      <c r="V33" s="61"/>
      <c r="W33" s="60"/>
      <c r="X33" s="31"/>
      <c r="Y33" s="61"/>
      <c r="Z33" s="60"/>
      <c r="AA33" s="31"/>
      <c r="AB33" s="61"/>
      <c r="AC33" s="60"/>
      <c r="AD33" s="31"/>
      <c r="AE33" s="61"/>
      <c r="AF33" s="60"/>
      <c r="AG33" s="31"/>
      <c r="AH33" s="61"/>
      <c r="AI33" s="60"/>
      <c r="AJ33" s="31"/>
      <c r="AK33" s="61"/>
      <c r="AL33" s="60"/>
      <c r="AM33" s="31"/>
      <c r="AN33" s="61"/>
      <c r="AO33" s="60"/>
      <c r="AP33" s="31"/>
      <c r="AQ33" s="61"/>
      <c r="AR33" s="60"/>
      <c r="AS33" s="31"/>
      <c r="AT33" s="61"/>
    </row>
    <row r="34" ht="24.0" customHeight="1">
      <c r="A34" s="64" t="s">
        <v>87</v>
      </c>
      <c r="B34" s="51" t="str">
        <f>VLOOKUP(C34,[1]Saldo!A33:B31306,2,0)</f>
        <v>#ERROR!</v>
      </c>
      <c r="C34" s="88" t="s">
        <v>1092</v>
      </c>
      <c r="D34" s="88" t="str">
        <f t="shared" si="3"/>
        <v>#REF!</v>
      </c>
      <c r="E34" s="137" t="str">
        <f t="shared" si="4"/>
        <v>#REF!</v>
      </c>
      <c r="F34" s="88" t="str">
        <f t="shared" si="5"/>
        <v>#REF!</v>
      </c>
      <c r="G34" s="128">
        <f>'PAINEL DE CONTROLE'!$G$8</f>
        <v>29012</v>
      </c>
      <c r="H34" s="128">
        <v>25198.0</v>
      </c>
      <c r="I34" s="128" t="str">
        <f t="shared" si="1"/>
        <v>#REF!</v>
      </c>
      <c r="J34" s="128" t="str">
        <f t="shared" si="2"/>
        <v>#REF!</v>
      </c>
      <c r="K34" s="60"/>
      <c r="L34" s="31"/>
      <c r="M34" s="61"/>
      <c r="N34" s="60"/>
      <c r="O34" s="31"/>
      <c r="P34" s="61"/>
      <c r="Q34" s="60"/>
      <c r="R34" s="31"/>
      <c r="S34" s="61"/>
      <c r="T34" s="60"/>
      <c r="U34" s="31"/>
      <c r="V34" s="61"/>
      <c r="W34" s="60"/>
      <c r="X34" s="31"/>
      <c r="Y34" s="61"/>
      <c r="Z34" s="60"/>
      <c r="AA34" s="31"/>
      <c r="AB34" s="61"/>
      <c r="AC34" s="60"/>
      <c r="AD34" s="31"/>
      <c r="AE34" s="61"/>
      <c r="AF34" s="60"/>
      <c r="AG34" s="31"/>
      <c r="AH34" s="61"/>
      <c r="AI34" s="60"/>
      <c r="AJ34" s="31"/>
      <c r="AK34" s="61"/>
      <c r="AL34" s="60"/>
      <c r="AM34" s="31"/>
      <c r="AN34" s="61"/>
      <c r="AO34" s="60"/>
      <c r="AP34" s="31"/>
      <c r="AQ34" s="61"/>
      <c r="AR34" s="60"/>
      <c r="AS34" s="31"/>
      <c r="AT34" s="61"/>
    </row>
    <row r="35" ht="24.0" customHeight="1">
      <c r="A35" s="62"/>
      <c r="B35" s="51" t="str">
        <f>VLOOKUP(C35,[1]Saldo!A34:B31307,2,0)</f>
        <v>#ERROR!</v>
      </c>
      <c r="C35" s="88" t="s">
        <v>1074</v>
      </c>
      <c r="D35" s="88" t="str">
        <f t="shared" si="3"/>
        <v>#REF!</v>
      </c>
      <c r="E35" s="137" t="str">
        <f t="shared" si="4"/>
        <v>#REF!</v>
      </c>
      <c r="F35" s="88" t="str">
        <f t="shared" si="5"/>
        <v>#REF!</v>
      </c>
      <c r="G35" s="128">
        <f>'PAINEL DE CONTROLE'!$G$8</f>
        <v>29012</v>
      </c>
      <c r="H35" s="128">
        <v>25198.0</v>
      </c>
      <c r="I35" s="128" t="str">
        <f t="shared" si="1"/>
        <v>#REF!</v>
      </c>
      <c r="J35" s="128" t="str">
        <f t="shared" si="2"/>
        <v>#REF!</v>
      </c>
      <c r="K35" s="60"/>
      <c r="L35" s="31"/>
      <c r="M35" s="61"/>
      <c r="N35" s="60"/>
      <c r="O35" s="31"/>
      <c r="P35" s="61"/>
      <c r="Q35" s="60"/>
      <c r="R35" s="31"/>
      <c r="S35" s="61"/>
      <c r="T35" s="60"/>
      <c r="U35" s="31"/>
      <c r="V35" s="61"/>
      <c r="W35" s="60"/>
      <c r="X35" s="31"/>
      <c r="Y35" s="61"/>
      <c r="Z35" s="60"/>
      <c r="AA35" s="31"/>
      <c r="AB35" s="61"/>
      <c r="AC35" s="60"/>
      <c r="AD35" s="31"/>
      <c r="AE35" s="61"/>
      <c r="AF35" s="60"/>
      <c r="AG35" s="31"/>
      <c r="AH35" s="61"/>
      <c r="AI35" s="60"/>
      <c r="AJ35" s="31"/>
      <c r="AK35" s="61"/>
      <c r="AL35" s="60"/>
      <c r="AM35" s="31"/>
      <c r="AN35" s="61"/>
      <c r="AO35" s="60"/>
      <c r="AP35" s="31"/>
      <c r="AQ35" s="61"/>
      <c r="AR35" s="60"/>
      <c r="AS35" s="31"/>
      <c r="AT35" s="61"/>
    </row>
    <row r="36" ht="24.0" customHeight="1">
      <c r="A36" s="62"/>
      <c r="B36" s="51" t="str">
        <f>VLOOKUP(C36,[1]Saldo!A35:B31308,2,0)</f>
        <v>#ERROR!</v>
      </c>
      <c r="C36" s="88" t="s">
        <v>1093</v>
      </c>
      <c r="D36" s="88" t="str">
        <f t="shared" si="3"/>
        <v>#REF!</v>
      </c>
      <c r="E36" s="137" t="str">
        <f t="shared" si="4"/>
        <v>#REF!</v>
      </c>
      <c r="F36" s="88" t="str">
        <f t="shared" si="5"/>
        <v>#REF!</v>
      </c>
      <c r="G36" s="128">
        <f>'PAINEL DE CONTROLE'!$G$8</f>
        <v>29012</v>
      </c>
      <c r="H36" s="128">
        <v>25198.0</v>
      </c>
      <c r="I36" s="128" t="str">
        <f t="shared" si="1"/>
        <v>#REF!</v>
      </c>
      <c r="J36" s="128" t="str">
        <f t="shared" si="2"/>
        <v>#REF!</v>
      </c>
      <c r="K36" s="60"/>
      <c r="L36" s="31"/>
      <c r="M36" s="61"/>
      <c r="N36" s="60"/>
      <c r="O36" s="31"/>
      <c r="P36" s="61"/>
      <c r="Q36" s="60"/>
      <c r="R36" s="31"/>
      <c r="S36" s="61"/>
      <c r="T36" s="60"/>
      <c r="U36" s="31"/>
      <c r="V36" s="61"/>
      <c r="W36" s="60"/>
      <c r="X36" s="31"/>
      <c r="Y36" s="61"/>
      <c r="Z36" s="60"/>
      <c r="AA36" s="31"/>
      <c r="AB36" s="61"/>
      <c r="AC36" s="60"/>
      <c r="AD36" s="31"/>
      <c r="AE36" s="61"/>
      <c r="AF36" s="60"/>
      <c r="AG36" s="31"/>
      <c r="AH36" s="61"/>
      <c r="AI36" s="60"/>
      <c r="AJ36" s="31"/>
      <c r="AK36" s="61"/>
      <c r="AL36" s="60"/>
      <c r="AM36" s="31"/>
      <c r="AN36" s="61"/>
      <c r="AO36" s="60"/>
      <c r="AP36" s="31"/>
      <c r="AQ36" s="61"/>
      <c r="AR36" s="60"/>
      <c r="AS36" s="31"/>
      <c r="AT36" s="61"/>
    </row>
    <row r="37" ht="24.0" customHeight="1">
      <c r="A37" s="62"/>
      <c r="B37" s="51" t="str">
        <f>VLOOKUP(C37,[1]Saldo!A36:B31309,2,0)</f>
        <v>#ERROR!</v>
      </c>
      <c r="C37" s="88" t="s">
        <v>1094</v>
      </c>
      <c r="D37" s="88" t="str">
        <f t="shared" si="3"/>
        <v>#REF!</v>
      </c>
      <c r="E37" s="137" t="str">
        <f t="shared" si="4"/>
        <v>#REF!</v>
      </c>
      <c r="F37" s="88" t="str">
        <f t="shared" si="5"/>
        <v>#REF!</v>
      </c>
      <c r="G37" s="128">
        <f>'PAINEL DE CONTROLE'!$G$8</f>
        <v>29012</v>
      </c>
      <c r="H37" s="128">
        <v>25198.0</v>
      </c>
      <c r="I37" s="128" t="str">
        <f t="shared" si="1"/>
        <v>#REF!</v>
      </c>
      <c r="J37" s="128" t="str">
        <f t="shared" si="2"/>
        <v>#REF!</v>
      </c>
      <c r="K37" s="60"/>
      <c r="L37" s="31"/>
      <c r="M37" s="61"/>
      <c r="N37" s="60"/>
      <c r="O37" s="31"/>
      <c r="P37" s="61"/>
      <c r="Q37" s="60"/>
      <c r="R37" s="31"/>
      <c r="S37" s="61"/>
      <c r="T37" s="60"/>
      <c r="U37" s="31"/>
      <c r="V37" s="61"/>
      <c r="W37" s="60"/>
      <c r="X37" s="31"/>
      <c r="Y37" s="61"/>
      <c r="Z37" s="60"/>
      <c r="AA37" s="31"/>
      <c r="AB37" s="61"/>
      <c r="AC37" s="60"/>
      <c r="AD37" s="31"/>
      <c r="AE37" s="61"/>
      <c r="AF37" s="60"/>
      <c r="AG37" s="31"/>
      <c r="AH37" s="61"/>
      <c r="AI37" s="60"/>
      <c r="AJ37" s="31"/>
      <c r="AK37" s="61"/>
      <c r="AL37" s="60"/>
      <c r="AM37" s="31"/>
      <c r="AN37" s="61"/>
      <c r="AO37" s="60"/>
      <c r="AP37" s="31"/>
      <c r="AQ37" s="61"/>
      <c r="AR37" s="60"/>
      <c r="AS37" s="31"/>
      <c r="AT37" s="61"/>
    </row>
    <row r="38" ht="24.0" customHeight="1">
      <c r="A38" s="62"/>
      <c r="B38" s="51" t="str">
        <f>VLOOKUP(C38,[1]Saldo!A37:B31310,2,0)</f>
        <v>#ERROR!</v>
      </c>
      <c r="C38" s="88" t="s">
        <v>1095</v>
      </c>
      <c r="D38" s="88" t="str">
        <f t="shared" si="3"/>
        <v>#REF!</v>
      </c>
      <c r="E38" s="137" t="str">
        <f t="shared" si="4"/>
        <v>#REF!</v>
      </c>
      <c r="F38" s="88" t="str">
        <f t="shared" si="5"/>
        <v>#REF!</v>
      </c>
      <c r="G38" s="128">
        <f>'PAINEL DE CONTROLE'!$G$8</f>
        <v>29012</v>
      </c>
      <c r="H38" s="128">
        <v>25198.0</v>
      </c>
      <c r="I38" s="128" t="str">
        <f t="shared" si="1"/>
        <v>#REF!</v>
      </c>
      <c r="J38" s="128" t="str">
        <f t="shared" si="2"/>
        <v>#REF!</v>
      </c>
      <c r="K38" s="60"/>
      <c r="L38" s="31"/>
      <c r="M38" s="61"/>
      <c r="N38" s="60"/>
      <c r="O38" s="31"/>
      <c r="P38" s="61"/>
      <c r="Q38" s="60"/>
      <c r="R38" s="31"/>
      <c r="S38" s="61"/>
      <c r="T38" s="60"/>
      <c r="U38" s="31"/>
      <c r="V38" s="61"/>
      <c r="W38" s="60"/>
      <c r="X38" s="31"/>
      <c r="Y38" s="61"/>
      <c r="Z38" s="60"/>
      <c r="AA38" s="31"/>
      <c r="AB38" s="61"/>
      <c r="AC38" s="60"/>
      <c r="AD38" s="31"/>
      <c r="AE38" s="61"/>
      <c r="AF38" s="60"/>
      <c r="AG38" s="31"/>
      <c r="AH38" s="61"/>
      <c r="AI38" s="60"/>
      <c r="AJ38" s="31"/>
      <c r="AK38" s="61"/>
      <c r="AL38" s="60"/>
      <c r="AM38" s="31"/>
      <c r="AN38" s="61"/>
      <c r="AO38" s="60"/>
      <c r="AP38" s="31"/>
      <c r="AQ38" s="61"/>
      <c r="AR38" s="60"/>
      <c r="AS38" s="31"/>
      <c r="AT38" s="61"/>
    </row>
    <row r="39" ht="24.0" customHeight="1">
      <c r="A39" s="62"/>
      <c r="B39" s="51" t="str">
        <f>VLOOKUP(C39,[1]Saldo!A38:B31311,2,0)</f>
        <v>#ERROR!</v>
      </c>
      <c r="C39" s="88" t="s">
        <v>1096</v>
      </c>
      <c r="D39" s="88" t="str">
        <f t="shared" si="3"/>
        <v>#REF!</v>
      </c>
      <c r="E39" s="137" t="str">
        <f t="shared" si="4"/>
        <v>#REF!</v>
      </c>
      <c r="F39" s="88" t="str">
        <f t="shared" si="5"/>
        <v>#REF!</v>
      </c>
      <c r="G39" s="128">
        <f>'PAINEL DE CONTROLE'!$G$8</f>
        <v>29012</v>
      </c>
      <c r="H39" s="128">
        <v>25198.0</v>
      </c>
      <c r="I39" s="128" t="str">
        <f t="shared" si="1"/>
        <v>#REF!</v>
      </c>
      <c r="J39" s="128" t="str">
        <f t="shared" si="2"/>
        <v>#REF!</v>
      </c>
      <c r="K39" s="60"/>
      <c r="L39" s="31"/>
      <c r="M39" s="61"/>
      <c r="N39" s="60"/>
      <c r="O39" s="31"/>
      <c r="P39" s="61"/>
      <c r="Q39" s="60"/>
      <c r="R39" s="31"/>
      <c r="S39" s="61"/>
      <c r="T39" s="60"/>
      <c r="U39" s="31"/>
      <c r="V39" s="61"/>
      <c r="W39" s="60"/>
      <c r="X39" s="31"/>
      <c r="Y39" s="61"/>
      <c r="Z39" s="60"/>
      <c r="AA39" s="31"/>
      <c r="AB39" s="61"/>
      <c r="AC39" s="60"/>
      <c r="AD39" s="31"/>
      <c r="AE39" s="61"/>
      <c r="AF39" s="60"/>
      <c r="AG39" s="31"/>
      <c r="AH39" s="61"/>
      <c r="AI39" s="60"/>
      <c r="AJ39" s="31"/>
      <c r="AK39" s="61"/>
      <c r="AL39" s="60"/>
      <c r="AM39" s="31"/>
      <c r="AN39" s="61"/>
      <c r="AO39" s="60"/>
      <c r="AP39" s="31"/>
      <c r="AQ39" s="61"/>
      <c r="AR39" s="60"/>
      <c r="AS39" s="31"/>
      <c r="AT39" s="61"/>
    </row>
    <row r="40" ht="24.0" customHeight="1">
      <c r="A40" s="62"/>
      <c r="B40" s="51" t="str">
        <f>VLOOKUP(C40,[1]Saldo!A39:B31312,2,0)</f>
        <v>#ERROR!</v>
      </c>
      <c r="C40" s="88" t="s">
        <v>1097</v>
      </c>
      <c r="D40" s="88" t="str">
        <f t="shared" si="3"/>
        <v>#REF!</v>
      </c>
      <c r="E40" s="137" t="str">
        <f t="shared" si="4"/>
        <v>#REF!</v>
      </c>
      <c r="F40" s="88" t="str">
        <f t="shared" si="5"/>
        <v>#REF!</v>
      </c>
      <c r="G40" s="128">
        <f>'PAINEL DE CONTROLE'!$G$8</f>
        <v>29012</v>
      </c>
      <c r="H40" s="128">
        <v>25198.0</v>
      </c>
      <c r="I40" s="128" t="str">
        <f t="shared" si="1"/>
        <v>#REF!</v>
      </c>
      <c r="J40" s="128" t="str">
        <f t="shared" si="2"/>
        <v>#REF!</v>
      </c>
      <c r="K40" s="60"/>
      <c r="L40" s="31"/>
      <c r="M40" s="61"/>
      <c r="N40" s="60"/>
      <c r="O40" s="31"/>
      <c r="P40" s="61"/>
      <c r="Q40" s="60"/>
      <c r="R40" s="31"/>
      <c r="S40" s="61"/>
      <c r="T40" s="60"/>
      <c r="U40" s="31"/>
      <c r="V40" s="61"/>
      <c r="W40" s="60"/>
      <c r="X40" s="31"/>
      <c r="Y40" s="61"/>
      <c r="Z40" s="60"/>
      <c r="AA40" s="31"/>
      <c r="AB40" s="61"/>
      <c r="AC40" s="60"/>
      <c r="AD40" s="31"/>
      <c r="AE40" s="61"/>
      <c r="AF40" s="60"/>
      <c r="AG40" s="31"/>
      <c r="AH40" s="61"/>
      <c r="AI40" s="60"/>
      <c r="AJ40" s="31"/>
      <c r="AK40" s="61"/>
      <c r="AL40" s="60"/>
      <c r="AM40" s="31"/>
      <c r="AN40" s="61"/>
      <c r="AO40" s="60"/>
      <c r="AP40" s="31"/>
      <c r="AQ40" s="61"/>
      <c r="AR40" s="60"/>
      <c r="AS40" s="31"/>
      <c r="AT40" s="61"/>
    </row>
    <row r="41" ht="24.0" customHeight="1">
      <c r="A41" s="62"/>
      <c r="B41" s="51" t="str">
        <f>VLOOKUP(C41,[1]Saldo!A40:B31313,2,0)</f>
        <v>#ERROR!</v>
      </c>
      <c r="C41" s="88" t="s">
        <v>649</v>
      </c>
      <c r="D41" s="88" t="str">
        <f t="shared" si="3"/>
        <v>#REF!</v>
      </c>
      <c r="E41" s="137" t="str">
        <f t="shared" si="4"/>
        <v>#REF!</v>
      </c>
      <c r="F41" s="88" t="str">
        <f t="shared" si="5"/>
        <v>#REF!</v>
      </c>
      <c r="G41" s="128">
        <f>'PAINEL DE CONTROLE'!$G$8</f>
        <v>29012</v>
      </c>
      <c r="H41" s="128">
        <v>25198.0</v>
      </c>
      <c r="I41" s="128" t="str">
        <f t="shared" si="1"/>
        <v>#REF!</v>
      </c>
      <c r="J41" s="128" t="str">
        <f t="shared" si="2"/>
        <v>#REF!</v>
      </c>
      <c r="K41" s="60"/>
      <c r="L41" s="31"/>
      <c r="M41" s="61"/>
      <c r="N41" s="60"/>
      <c r="O41" s="31"/>
      <c r="P41" s="61"/>
      <c r="Q41" s="60"/>
      <c r="R41" s="31"/>
      <c r="S41" s="61"/>
      <c r="T41" s="60"/>
      <c r="U41" s="31"/>
      <c r="V41" s="61"/>
      <c r="W41" s="60"/>
      <c r="X41" s="31"/>
      <c r="Y41" s="61"/>
      <c r="Z41" s="60"/>
      <c r="AA41" s="31"/>
      <c r="AB41" s="61"/>
      <c r="AC41" s="60"/>
      <c r="AD41" s="31"/>
      <c r="AE41" s="61"/>
      <c r="AF41" s="60"/>
      <c r="AG41" s="31"/>
      <c r="AH41" s="61"/>
      <c r="AI41" s="60"/>
      <c r="AJ41" s="31"/>
      <c r="AK41" s="61"/>
      <c r="AL41" s="60"/>
      <c r="AM41" s="31"/>
      <c r="AN41" s="61"/>
      <c r="AO41" s="60"/>
      <c r="AP41" s="31"/>
      <c r="AQ41" s="61"/>
      <c r="AR41" s="60"/>
      <c r="AS41" s="31"/>
      <c r="AT41" s="61"/>
    </row>
    <row r="42" ht="24.0" customHeight="1">
      <c r="A42" s="62"/>
      <c r="B42" s="51" t="str">
        <f>VLOOKUP(C42,[1]Saldo!A41:B31314,2,0)</f>
        <v>#ERROR!</v>
      </c>
      <c r="C42" s="88" t="s">
        <v>1098</v>
      </c>
      <c r="D42" s="88" t="str">
        <f t="shared" si="3"/>
        <v>#REF!</v>
      </c>
      <c r="E42" s="137" t="str">
        <f t="shared" si="4"/>
        <v>#REF!</v>
      </c>
      <c r="F42" s="88" t="str">
        <f t="shared" si="5"/>
        <v>#REF!</v>
      </c>
      <c r="G42" s="128">
        <f>'PAINEL DE CONTROLE'!$G$8</f>
        <v>29012</v>
      </c>
      <c r="H42" s="128">
        <v>25198.0</v>
      </c>
      <c r="I42" s="128" t="str">
        <f t="shared" si="1"/>
        <v>#REF!</v>
      </c>
      <c r="J42" s="128" t="str">
        <f t="shared" si="2"/>
        <v>#REF!</v>
      </c>
      <c r="K42" s="60"/>
      <c r="L42" s="31"/>
      <c r="M42" s="61"/>
      <c r="N42" s="60"/>
      <c r="O42" s="31"/>
      <c r="P42" s="61"/>
      <c r="Q42" s="60"/>
      <c r="R42" s="31"/>
      <c r="S42" s="61"/>
      <c r="T42" s="60"/>
      <c r="U42" s="31"/>
      <c r="V42" s="61"/>
      <c r="W42" s="60"/>
      <c r="X42" s="31"/>
      <c r="Y42" s="61"/>
      <c r="Z42" s="60"/>
      <c r="AA42" s="31"/>
      <c r="AB42" s="61"/>
      <c r="AC42" s="60"/>
      <c r="AD42" s="31"/>
      <c r="AE42" s="61"/>
      <c r="AF42" s="60"/>
      <c r="AG42" s="31"/>
      <c r="AH42" s="61"/>
      <c r="AI42" s="60"/>
      <c r="AJ42" s="31"/>
      <c r="AK42" s="61"/>
      <c r="AL42" s="60"/>
      <c r="AM42" s="31"/>
      <c r="AN42" s="61"/>
      <c r="AO42" s="60"/>
      <c r="AP42" s="31"/>
      <c r="AQ42" s="61"/>
      <c r="AR42" s="60"/>
      <c r="AS42" s="31"/>
      <c r="AT42" s="61"/>
    </row>
    <row r="43" ht="24.0" customHeight="1">
      <c r="A43" s="62"/>
      <c r="B43" s="51" t="str">
        <f>VLOOKUP(C43,[1]Saldo!A42:B31315,2,0)</f>
        <v>#ERROR!</v>
      </c>
      <c r="C43" s="88" t="s">
        <v>1099</v>
      </c>
      <c r="D43" s="88" t="str">
        <f t="shared" si="3"/>
        <v>#REF!</v>
      </c>
      <c r="E43" s="137" t="str">
        <f t="shared" si="4"/>
        <v>#REF!</v>
      </c>
      <c r="F43" s="88" t="str">
        <f t="shared" si="5"/>
        <v>#REF!</v>
      </c>
      <c r="G43" s="128">
        <f>'PAINEL DE CONTROLE'!$G$8</f>
        <v>29012</v>
      </c>
      <c r="H43" s="128">
        <v>25198.0</v>
      </c>
      <c r="I43" s="128" t="str">
        <f t="shared" si="1"/>
        <v>#REF!</v>
      </c>
      <c r="J43" s="128" t="str">
        <f t="shared" si="2"/>
        <v>#REF!</v>
      </c>
      <c r="K43" s="60"/>
      <c r="L43" s="31"/>
      <c r="M43" s="61"/>
      <c r="N43" s="60"/>
      <c r="O43" s="31"/>
      <c r="P43" s="61"/>
      <c r="Q43" s="60"/>
      <c r="R43" s="31"/>
      <c r="S43" s="61"/>
      <c r="T43" s="60"/>
      <c r="U43" s="31"/>
      <c r="V43" s="61"/>
      <c r="W43" s="60"/>
      <c r="X43" s="31"/>
      <c r="Y43" s="61"/>
      <c r="Z43" s="60"/>
      <c r="AA43" s="31"/>
      <c r="AB43" s="61"/>
      <c r="AC43" s="60"/>
      <c r="AD43" s="31"/>
      <c r="AE43" s="61"/>
      <c r="AF43" s="60"/>
      <c r="AG43" s="31"/>
      <c r="AH43" s="61"/>
      <c r="AI43" s="60"/>
      <c r="AJ43" s="31"/>
      <c r="AK43" s="61"/>
      <c r="AL43" s="60"/>
      <c r="AM43" s="31"/>
      <c r="AN43" s="61"/>
      <c r="AO43" s="60"/>
      <c r="AP43" s="31"/>
      <c r="AQ43" s="61"/>
      <c r="AR43" s="60"/>
      <c r="AS43" s="31"/>
      <c r="AT43" s="61"/>
    </row>
    <row r="44" ht="24.0" customHeight="1">
      <c r="A44" s="62"/>
      <c r="B44" s="51" t="str">
        <f>VLOOKUP(C44,[1]Saldo!A43:B31316,2,0)</f>
        <v>#ERROR!</v>
      </c>
      <c r="C44" s="88" t="s">
        <v>1100</v>
      </c>
      <c r="D44" s="88" t="str">
        <f t="shared" si="3"/>
        <v>#REF!</v>
      </c>
      <c r="E44" s="137" t="str">
        <f t="shared" si="4"/>
        <v>#REF!</v>
      </c>
      <c r="F44" s="88" t="str">
        <f t="shared" si="5"/>
        <v>#REF!</v>
      </c>
      <c r="G44" s="128">
        <f>'PAINEL DE CONTROLE'!$G$8</f>
        <v>29012</v>
      </c>
      <c r="H44" s="128">
        <v>25198.0</v>
      </c>
      <c r="I44" s="128" t="str">
        <f t="shared" si="1"/>
        <v>#REF!</v>
      </c>
      <c r="J44" s="128" t="str">
        <f t="shared" si="2"/>
        <v>#REF!</v>
      </c>
      <c r="K44" s="60"/>
      <c r="L44" s="31"/>
      <c r="M44" s="61"/>
      <c r="N44" s="60"/>
      <c r="O44" s="31"/>
      <c r="P44" s="61"/>
      <c r="Q44" s="60"/>
      <c r="R44" s="31"/>
      <c r="S44" s="61"/>
      <c r="T44" s="60"/>
      <c r="U44" s="31"/>
      <c r="V44" s="61"/>
      <c r="W44" s="60"/>
      <c r="X44" s="31"/>
      <c r="Y44" s="61"/>
      <c r="Z44" s="60"/>
      <c r="AA44" s="31"/>
      <c r="AB44" s="61"/>
      <c r="AC44" s="60"/>
      <c r="AD44" s="31"/>
      <c r="AE44" s="61"/>
      <c r="AF44" s="60"/>
      <c r="AG44" s="31"/>
      <c r="AH44" s="61"/>
      <c r="AI44" s="60"/>
      <c r="AJ44" s="31"/>
      <c r="AK44" s="61"/>
      <c r="AL44" s="60"/>
      <c r="AM44" s="31"/>
      <c r="AN44" s="61"/>
      <c r="AO44" s="60"/>
      <c r="AP44" s="31"/>
      <c r="AQ44" s="61"/>
      <c r="AR44" s="60"/>
      <c r="AS44" s="31"/>
      <c r="AT44" s="61"/>
    </row>
    <row r="45" ht="24.0" customHeight="1">
      <c r="A45" s="62"/>
      <c r="B45" s="51" t="str">
        <f>VLOOKUP(C45,[1]Saldo!A44:B31317,2,0)</f>
        <v>#ERROR!</v>
      </c>
      <c r="C45" s="88" t="s">
        <v>1101</v>
      </c>
      <c r="D45" s="88" t="str">
        <f t="shared" si="3"/>
        <v>#REF!</v>
      </c>
      <c r="E45" s="137" t="str">
        <f t="shared" si="4"/>
        <v>#REF!</v>
      </c>
      <c r="F45" s="88" t="str">
        <f t="shared" si="5"/>
        <v>#REF!</v>
      </c>
      <c r="G45" s="128">
        <f>'PAINEL DE CONTROLE'!$G$8</f>
        <v>29012</v>
      </c>
      <c r="H45" s="128">
        <v>25198.0</v>
      </c>
      <c r="I45" s="128" t="str">
        <f t="shared" si="1"/>
        <v>#REF!</v>
      </c>
      <c r="J45" s="128" t="str">
        <f t="shared" si="2"/>
        <v>#REF!</v>
      </c>
      <c r="K45" s="60"/>
      <c r="L45" s="31"/>
      <c r="M45" s="61"/>
      <c r="N45" s="60"/>
      <c r="O45" s="31"/>
      <c r="P45" s="61"/>
      <c r="Q45" s="60"/>
      <c r="R45" s="31"/>
      <c r="S45" s="61"/>
      <c r="T45" s="60"/>
      <c r="U45" s="31"/>
      <c r="V45" s="61"/>
      <c r="W45" s="60"/>
      <c r="X45" s="31"/>
      <c r="Y45" s="61"/>
      <c r="Z45" s="60"/>
      <c r="AA45" s="31"/>
      <c r="AB45" s="61"/>
      <c r="AC45" s="60"/>
      <c r="AD45" s="31"/>
      <c r="AE45" s="61"/>
      <c r="AF45" s="60"/>
      <c r="AG45" s="31"/>
      <c r="AH45" s="61"/>
      <c r="AI45" s="60"/>
      <c r="AJ45" s="31"/>
      <c r="AK45" s="61"/>
      <c r="AL45" s="60"/>
      <c r="AM45" s="31"/>
      <c r="AN45" s="61"/>
      <c r="AO45" s="60"/>
      <c r="AP45" s="31"/>
      <c r="AQ45" s="61"/>
      <c r="AR45" s="60"/>
      <c r="AS45" s="31"/>
      <c r="AT45" s="61"/>
    </row>
    <row r="46" ht="24.0" customHeight="1">
      <c r="A46" s="62"/>
      <c r="B46" s="51" t="str">
        <f>VLOOKUP(C46,[1]Saldo!A45:B31318,2,0)</f>
        <v>#ERROR!</v>
      </c>
      <c r="C46" s="88" t="s">
        <v>1102</v>
      </c>
      <c r="D46" s="88" t="str">
        <f t="shared" si="3"/>
        <v>#REF!</v>
      </c>
      <c r="E46" s="137" t="str">
        <f t="shared" si="4"/>
        <v>#REF!</v>
      </c>
      <c r="F46" s="88" t="str">
        <f t="shared" si="5"/>
        <v>#REF!</v>
      </c>
      <c r="G46" s="128">
        <f>'PAINEL DE CONTROLE'!$G$8</f>
        <v>29012</v>
      </c>
      <c r="H46" s="128">
        <v>25198.0</v>
      </c>
      <c r="I46" s="128" t="str">
        <f t="shared" si="1"/>
        <v>#REF!</v>
      </c>
      <c r="J46" s="128" t="str">
        <f t="shared" si="2"/>
        <v>#REF!</v>
      </c>
      <c r="K46" s="60"/>
      <c r="L46" s="31"/>
      <c r="M46" s="61"/>
      <c r="N46" s="60"/>
      <c r="O46" s="31"/>
      <c r="P46" s="61"/>
      <c r="Q46" s="60"/>
      <c r="R46" s="31"/>
      <c r="S46" s="61"/>
      <c r="T46" s="60"/>
      <c r="U46" s="31"/>
      <c r="V46" s="61"/>
      <c r="W46" s="60"/>
      <c r="X46" s="31"/>
      <c r="Y46" s="61"/>
      <c r="Z46" s="60"/>
      <c r="AA46" s="31"/>
      <c r="AB46" s="61"/>
      <c r="AC46" s="60"/>
      <c r="AD46" s="31"/>
      <c r="AE46" s="61"/>
      <c r="AF46" s="60"/>
      <c r="AG46" s="31"/>
      <c r="AH46" s="61"/>
      <c r="AI46" s="60"/>
      <c r="AJ46" s="31"/>
      <c r="AK46" s="61"/>
      <c r="AL46" s="60"/>
      <c r="AM46" s="31"/>
      <c r="AN46" s="61"/>
      <c r="AO46" s="60"/>
      <c r="AP46" s="31"/>
      <c r="AQ46" s="61"/>
      <c r="AR46" s="60"/>
      <c r="AS46" s="31"/>
      <c r="AT46" s="61"/>
    </row>
    <row r="47" ht="24.0" customHeight="1">
      <c r="A47" s="62"/>
      <c r="B47" s="51" t="str">
        <f>VLOOKUP(C47,[1]Saldo!A46:B31319,2,0)</f>
        <v>#ERROR!</v>
      </c>
      <c r="C47" s="88" t="s">
        <v>1059</v>
      </c>
      <c r="D47" s="88" t="str">
        <f t="shared" si="3"/>
        <v>#REF!</v>
      </c>
      <c r="E47" s="137" t="str">
        <f t="shared" si="4"/>
        <v>#REF!</v>
      </c>
      <c r="F47" s="88" t="str">
        <f t="shared" si="5"/>
        <v>#REF!</v>
      </c>
      <c r="G47" s="128">
        <f>'PAINEL DE CONTROLE'!$G$8</f>
        <v>29012</v>
      </c>
      <c r="H47" s="128">
        <v>25198.0</v>
      </c>
      <c r="I47" s="128" t="str">
        <f t="shared" si="1"/>
        <v>#REF!</v>
      </c>
      <c r="J47" s="128" t="str">
        <f t="shared" si="2"/>
        <v>#REF!</v>
      </c>
      <c r="K47" s="60"/>
      <c r="L47" s="31"/>
      <c r="M47" s="61"/>
      <c r="N47" s="60"/>
      <c r="O47" s="31"/>
      <c r="P47" s="61"/>
      <c r="Q47" s="60"/>
      <c r="R47" s="31"/>
      <c r="S47" s="61"/>
      <c r="T47" s="60"/>
      <c r="U47" s="31"/>
      <c r="V47" s="61"/>
      <c r="W47" s="60"/>
      <c r="X47" s="31"/>
      <c r="Y47" s="61"/>
      <c r="Z47" s="60"/>
      <c r="AA47" s="31"/>
      <c r="AB47" s="61"/>
      <c r="AC47" s="60"/>
      <c r="AD47" s="31"/>
      <c r="AE47" s="61"/>
      <c r="AF47" s="60"/>
      <c r="AG47" s="31"/>
      <c r="AH47" s="61"/>
      <c r="AI47" s="60"/>
      <c r="AJ47" s="31"/>
      <c r="AK47" s="61"/>
      <c r="AL47" s="60"/>
      <c r="AM47" s="31"/>
      <c r="AN47" s="61"/>
      <c r="AO47" s="60"/>
      <c r="AP47" s="31"/>
      <c r="AQ47" s="61"/>
      <c r="AR47" s="60"/>
      <c r="AS47" s="31"/>
      <c r="AT47" s="61"/>
    </row>
    <row r="48" ht="24.0" customHeight="1">
      <c r="A48" s="62"/>
      <c r="B48" s="51" t="str">
        <f>VLOOKUP(C48,[1]Saldo!A47:B31320,2,0)</f>
        <v>#ERROR!</v>
      </c>
      <c r="C48" s="88" t="s">
        <v>1103</v>
      </c>
      <c r="D48" s="88" t="str">
        <f t="shared" si="3"/>
        <v>#REF!</v>
      </c>
      <c r="E48" s="137" t="str">
        <f t="shared" si="4"/>
        <v>#REF!</v>
      </c>
      <c r="F48" s="88" t="str">
        <f t="shared" si="5"/>
        <v>#REF!</v>
      </c>
      <c r="G48" s="128">
        <f>'PAINEL DE CONTROLE'!$G$8</f>
        <v>29012</v>
      </c>
      <c r="H48" s="128">
        <v>25198.0</v>
      </c>
      <c r="I48" s="128" t="str">
        <f t="shared" si="1"/>
        <v>#REF!</v>
      </c>
      <c r="J48" s="128" t="str">
        <f t="shared" si="2"/>
        <v>#REF!</v>
      </c>
      <c r="K48" s="60"/>
      <c r="L48" s="31"/>
      <c r="M48" s="61"/>
      <c r="N48" s="60"/>
      <c r="O48" s="31"/>
      <c r="P48" s="61"/>
      <c r="Q48" s="60"/>
      <c r="R48" s="31"/>
      <c r="S48" s="61"/>
      <c r="T48" s="60"/>
      <c r="U48" s="31"/>
      <c r="V48" s="61"/>
      <c r="W48" s="60"/>
      <c r="X48" s="31"/>
      <c r="Y48" s="61"/>
      <c r="Z48" s="60"/>
      <c r="AA48" s="31"/>
      <c r="AB48" s="61"/>
      <c r="AC48" s="60"/>
      <c r="AD48" s="31"/>
      <c r="AE48" s="61"/>
      <c r="AF48" s="60"/>
      <c r="AG48" s="31"/>
      <c r="AH48" s="61"/>
      <c r="AI48" s="60"/>
      <c r="AJ48" s="31"/>
      <c r="AK48" s="61"/>
      <c r="AL48" s="60"/>
      <c r="AM48" s="31"/>
      <c r="AN48" s="61"/>
      <c r="AO48" s="60"/>
      <c r="AP48" s="31"/>
      <c r="AQ48" s="61"/>
      <c r="AR48" s="60"/>
      <c r="AS48" s="31"/>
      <c r="AT48" s="61"/>
    </row>
    <row r="49" ht="24.0" customHeight="1">
      <c r="A49" s="63"/>
      <c r="B49" s="51" t="str">
        <f>VLOOKUP(C49,[1]Saldo!A48:B31321,2,0)</f>
        <v>#ERROR!</v>
      </c>
      <c r="C49" s="88" t="s">
        <v>1104</v>
      </c>
      <c r="D49" s="88" t="str">
        <f t="shared" si="3"/>
        <v>#REF!</v>
      </c>
      <c r="E49" s="137" t="str">
        <f t="shared" si="4"/>
        <v>#REF!</v>
      </c>
      <c r="F49" s="88" t="str">
        <f t="shared" si="5"/>
        <v>#REF!</v>
      </c>
      <c r="G49" s="128">
        <f>'PAINEL DE CONTROLE'!$G$8</f>
        <v>29012</v>
      </c>
      <c r="H49" s="128">
        <v>25198.0</v>
      </c>
      <c r="I49" s="128" t="str">
        <f t="shared" si="1"/>
        <v>#REF!</v>
      </c>
      <c r="J49" s="128" t="str">
        <f t="shared" si="2"/>
        <v>#REF!</v>
      </c>
      <c r="K49" s="60"/>
      <c r="L49" s="31"/>
      <c r="M49" s="61"/>
      <c r="N49" s="60"/>
      <c r="O49" s="31"/>
      <c r="P49" s="61"/>
      <c r="Q49" s="60"/>
      <c r="R49" s="31"/>
      <c r="S49" s="61"/>
      <c r="T49" s="60"/>
      <c r="U49" s="31"/>
      <c r="V49" s="61"/>
      <c r="W49" s="60"/>
      <c r="X49" s="31"/>
      <c r="Y49" s="61"/>
      <c r="Z49" s="60"/>
      <c r="AA49" s="31"/>
      <c r="AB49" s="61"/>
      <c r="AC49" s="60"/>
      <c r="AD49" s="31"/>
      <c r="AE49" s="61"/>
      <c r="AF49" s="60"/>
      <c r="AG49" s="31"/>
      <c r="AH49" s="61"/>
      <c r="AI49" s="60"/>
      <c r="AJ49" s="31"/>
      <c r="AK49" s="61"/>
      <c r="AL49" s="60"/>
      <c r="AM49" s="31"/>
      <c r="AN49" s="61"/>
      <c r="AO49" s="60"/>
      <c r="AP49" s="31"/>
      <c r="AQ49" s="61"/>
      <c r="AR49" s="60"/>
      <c r="AS49" s="31"/>
      <c r="AT49" s="61"/>
    </row>
    <row r="50" ht="40.5" customHeight="1">
      <c r="A50" s="51" t="s">
        <v>1105</v>
      </c>
      <c r="B50" s="51" t="str">
        <f>VLOOKUP(C50,[1]Saldo!A49:B31322,2,0)</f>
        <v>#ERROR!</v>
      </c>
      <c r="C50" s="88" t="s">
        <v>1106</v>
      </c>
      <c r="D50" s="88" t="str">
        <f t="shared" si="3"/>
        <v>#REF!</v>
      </c>
      <c r="E50" s="137" t="str">
        <f t="shared" si="4"/>
        <v>#REF!</v>
      </c>
      <c r="F50" s="88" t="str">
        <f t="shared" si="5"/>
        <v>#REF!</v>
      </c>
      <c r="G50" s="128">
        <f>'PAINEL DE CONTROLE'!$G$8</f>
        <v>29012</v>
      </c>
      <c r="H50" s="128">
        <v>25198.0</v>
      </c>
      <c r="I50" s="128" t="str">
        <f t="shared" si="1"/>
        <v>#REF!</v>
      </c>
      <c r="J50" s="128" t="str">
        <f t="shared" si="2"/>
        <v>#REF!</v>
      </c>
      <c r="K50" s="60"/>
      <c r="L50" s="31"/>
      <c r="M50" s="61"/>
      <c r="N50" s="60"/>
      <c r="O50" s="31"/>
      <c r="P50" s="61"/>
      <c r="Q50" s="60"/>
      <c r="R50" s="31"/>
      <c r="S50" s="61"/>
      <c r="T50" s="60"/>
      <c r="U50" s="31"/>
      <c r="V50" s="61"/>
      <c r="W50" s="60"/>
      <c r="X50" s="31"/>
      <c r="Y50" s="61"/>
      <c r="Z50" s="60"/>
      <c r="AA50" s="31"/>
      <c r="AB50" s="61"/>
      <c r="AC50" s="60"/>
      <c r="AD50" s="31"/>
      <c r="AE50" s="61"/>
      <c r="AF50" s="60"/>
      <c r="AG50" s="31"/>
      <c r="AH50" s="61"/>
      <c r="AI50" s="60"/>
      <c r="AJ50" s="31"/>
      <c r="AK50" s="61"/>
      <c r="AL50" s="60"/>
      <c r="AM50" s="31"/>
      <c r="AN50" s="61"/>
      <c r="AO50" s="60"/>
      <c r="AP50" s="31"/>
      <c r="AQ50" s="61"/>
      <c r="AR50" s="60"/>
      <c r="AS50" s="31"/>
      <c r="AT50" s="61"/>
    </row>
    <row r="51" ht="24.0" customHeight="1">
      <c r="A51" s="64" t="s">
        <v>1107</v>
      </c>
      <c r="B51" s="51" t="str">
        <f>VLOOKUP(C51,[1]Saldo!A50:B31323,2,0)</f>
        <v>#ERROR!</v>
      </c>
      <c r="C51" s="88" t="s">
        <v>1108</v>
      </c>
      <c r="D51" s="88" t="str">
        <f t="shared" si="3"/>
        <v>#REF!</v>
      </c>
      <c r="E51" s="137" t="str">
        <f t="shared" si="4"/>
        <v>#REF!</v>
      </c>
      <c r="F51" s="88" t="str">
        <f t="shared" si="5"/>
        <v>#REF!</v>
      </c>
      <c r="G51" s="128">
        <f>'PAINEL DE CONTROLE'!$G$8</f>
        <v>29012</v>
      </c>
      <c r="H51" s="128">
        <v>25198.0</v>
      </c>
      <c r="I51" s="128" t="str">
        <f t="shared" si="1"/>
        <v>#REF!</v>
      </c>
      <c r="J51" s="128" t="str">
        <f t="shared" si="2"/>
        <v>#REF!</v>
      </c>
      <c r="K51" s="60"/>
      <c r="L51" s="31"/>
      <c r="M51" s="61"/>
      <c r="N51" s="60"/>
      <c r="O51" s="31"/>
      <c r="P51" s="61"/>
      <c r="Q51" s="60"/>
      <c r="R51" s="31"/>
      <c r="S51" s="61"/>
      <c r="T51" s="60"/>
      <c r="U51" s="31"/>
      <c r="V51" s="61"/>
      <c r="W51" s="60"/>
      <c r="X51" s="31"/>
      <c r="Y51" s="61"/>
      <c r="Z51" s="60"/>
      <c r="AA51" s="31"/>
      <c r="AB51" s="61"/>
      <c r="AC51" s="60"/>
      <c r="AD51" s="31"/>
      <c r="AE51" s="61"/>
      <c r="AF51" s="60"/>
      <c r="AG51" s="31"/>
      <c r="AH51" s="61"/>
      <c r="AI51" s="60"/>
      <c r="AJ51" s="31"/>
      <c r="AK51" s="61"/>
      <c r="AL51" s="60"/>
      <c r="AM51" s="31"/>
      <c r="AN51" s="61"/>
      <c r="AO51" s="60"/>
      <c r="AP51" s="31"/>
      <c r="AQ51" s="61"/>
      <c r="AR51" s="60"/>
      <c r="AS51" s="31"/>
      <c r="AT51" s="61"/>
    </row>
    <row r="52" ht="24.0" customHeight="1">
      <c r="A52" s="62"/>
      <c r="B52" s="51" t="str">
        <f>VLOOKUP(C52,[1]Saldo!A51:B31324,2,0)</f>
        <v>#ERROR!</v>
      </c>
      <c r="C52" s="88" t="s">
        <v>1109</v>
      </c>
      <c r="D52" s="88" t="str">
        <f t="shared" si="3"/>
        <v>#REF!</v>
      </c>
      <c r="E52" s="137" t="str">
        <f t="shared" si="4"/>
        <v>#REF!</v>
      </c>
      <c r="F52" s="88" t="str">
        <f t="shared" si="5"/>
        <v>#REF!</v>
      </c>
      <c r="G52" s="128">
        <f>'PAINEL DE CONTROLE'!$G$8</f>
        <v>29012</v>
      </c>
      <c r="H52" s="128">
        <v>25198.0</v>
      </c>
      <c r="I52" s="128" t="str">
        <f t="shared" si="1"/>
        <v>#REF!</v>
      </c>
      <c r="J52" s="128" t="str">
        <f t="shared" si="2"/>
        <v>#REF!</v>
      </c>
      <c r="K52" s="60"/>
      <c r="L52" s="31"/>
      <c r="M52" s="61"/>
      <c r="N52" s="60"/>
      <c r="O52" s="31"/>
      <c r="P52" s="61"/>
      <c r="Q52" s="60"/>
      <c r="R52" s="31"/>
      <c r="S52" s="61"/>
      <c r="T52" s="60"/>
      <c r="U52" s="31"/>
      <c r="V52" s="61"/>
      <c r="W52" s="60"/>
      <c r="X52" s="31"/>
      <c r="Y52" s="61"/>
      <c r="Z52" s="60"/>
      <c r="AA52" s="31"/>
      <c r="AB52" s="61"/>
      <c r="AC52" s="60"/>
      <c r="AD52" s="31"/>
      <c r="AE52" s="61"/>
      <c r="AF52" s="60"/>
      <c r="AG52" s="31"/>
      <c r="AH52" s="61"/>
      <c r="AI52" s="60"/>
      <c r="AJ52" s="31"/>
      <c r="AK52" s="61"/>
      <c r="AL52" s="60"/>
      <c r="AM52" s="31"/>
      <c r="AN52" s="61"/>
      <c r="AO52" s="60"/>
      <c r="AP52" s="31"/>
      <c r="AQ52" s="61"/>
      <c r="AR52" s="60"/>
      <c r="AS52" s="31"/>
      <c r="AT52" s="61"/>
    </row>
    <row r="53" ht="24.0" customHeight="1">
      <c r="A53" s="63"/>
      <c r="B53" s="51" t="str">
        <f>VLOOKUP(C53,[1]Saldo!A52:B31325,2,0)</f>
        <v>#ERROR!</v>
      </c>
      <c r="C53" s="88" t="s">
        <v>1082</v>
      </c>
      <c r="D53" s="88" t="str">
        <f t="shared" si="3"/>
        <v>#REF!</v>
      </c>
      <c r="E53" s="137" t="str">
        <f t="shared" si="4"/>
        <v>#REF!</v>
      </c>
      <c r="F53" s="88" t="str">
        <f t="shared" si="5"/>
        <v>#REF!</v>
      </c>
      <c r="G53" s="128">
        <f>'PAINEL DE CONTROLE'!$G$8</f>
        <v>29012</v>
      </c>
      <c r="H53" s="128">
        <v>25198.0</v>
      </c>
      <c r="I53" s="128" t="str">
        <f t="shared" si="1"/>
        <v>#REF!</v>
      </c>
      <c r="J53" s="128" t="str">
        <f t="shared" si="2"/>
        <v>#REF!</v>
      </c>
      <c r="K53" s="60"/>
      <c r="L53" s="31"/>
      <c r="M53" s="61"/>
      <c r="N53" s="60"/>
      <c r="O53" s="31"/>
      <c r="P53" s="61"/>
      <c r="Q53" s="60"/>
      <c r="R53" s="31"/>
      <c r="S53" s="61"/>
      <c r="T53" s="60"/>
      <c r="U53" s="31"/>
      <c r="V53" s="61"/>
      <c r="W53" s="60"/>
      <c r="X53" s="31"/>
      <c r="Y53" s="61"/>
      <c r="Z53" s="60"/>
      <c r="AA53" s="31"/>
      <c r="AB53" s="61"/>
      <c r="AC53" s="60"/>
      <c r="AD53" s="31"/>
      <c r="AE53" s="61"/>
      <c r="AF53" s="60"/>
      <c r="AG53" s="31"/>
      <c r="AH53" s="61"/>
      <c r="AI53" s="60"/>
      <c r="AJ53" s="31"/>
      <c r="AK53" s="61"/>
      <c r="AL53" s="60"/>
      <c r="AM53" s="31"/>
      <c r="AN53" s="61"/>
      <c r="AO53" s="60"/>
      <c r="AP53" s="31"/>
      <c r="AQ53" s="61"/>
      <c r="AR53" s="60"/>
      <c r="AS53" s="31"/>
      <c r="AT53" s="61"/>
    </row>
    <row r="54" ht="24.0" customHeight="1">
      <c r="A54" s="64" t="s">
        <v>1110</v>
      </c>
      <c r="B54" s="51" t="str">
        <f>VLOOKUP(C54,[1]Saldo!A53:B31326,2,0)</f>
        <v>#ERROR!</v>
      </c>
      <c r="C54" s="88" t="s">
        <v>1111</v>
      </c>
      <c r="D54" s="88" t="str">
        <f t="shared" si="3"/>
        <v>#REF!</v>
      </c>
      <c r="E54" s="137" t="str">
        <f t="shared" si="4"/>
        <v>#REF!</v>
      </c>
      <c r="F54" s="88" t="str">
        <f t="shared" si="5"/>
        <v>#REF!</v>
      </c>
      <c r="G54" s="128">
        <f>'PAINEL DE CONTROLE'!$G$8</f>
        <v>29012</v>
      </c>
      <c r="H54" s="128">
        <v>25198.0</v>
      </c>
      <c r="I54" s="128" t="str">
        <f t="shared" si="1"/>
        <v>#REF!</v>
      </c>
      <c r="J54" s="128" t="str">
        <f t="shared" si="2"/>
        <v>#REF!</v>
      </c>
      <c r="K54" s="60"/>
      <c r="L54" s="31"/>
      <c r="M54" s="61"/>
      <c r="N54" s="60"/>
      <c r="O54" s="31"/>
      <c r="P54" s="61"/>
      <c r="Q54" s="60"/>
      <c r="R54" s="31"/>
      <c r="S54" s="61"/>
      <c r="T54" s="60"/>
      <c r="U54" s="31"/>
      <c r="V54" s="61"/>
      <c r="W54" s="60"/>
      <c r="X54" s="31"/>
      <c r="Y54" s="61"/>
      <c r="Z54" s="60"/>
      <c r="AA54" s="31"/>
      <c r="AB54" s="61"/>
      <c r="AC54" s="60"/>
      <c r="AD54" s="31"/>
      <c r="AE54" s="61"/>
      <c r="AF54" s="60"/>
      <c r="AG54" s="31"/>
      <c r="AH54" s="61"/>
      <c r="AI54" s="60"/>
      <c r="AJ54" s="31"/>
      <c r="AK54" s="61"/>
      <c r="AL54" s="60"/>
      <c r="AM54" s="31"/>
      <c r="AN54" s="61"/>
      <c r="AO54" s="60"/>
      <c r="AP54" s="31"/>
      <c r="AQ54" s="61"/>
      <c r="AR54" s="60"/>
      <c r="AS54" s="31"/>
      <c r="AT54" s="61"/>
    </row>
    <row r="55" ht="24.0" customHeight="1">
      <c r="A55" s="63"/>
      <c r="B55" s="51" t="str">
        <f>VLOOKUP(C55,[1]Saldo!A54:B31327,2,0)</f>
        <v>#ERROR!</v>
      </c>
      <c r="C55" s="88" t="s">
        <v>1112</v>
      </c>
      <c r="D55" s="88" t="str">
        <f t="shared" si="3"/>
        <v>#REF!</v>
      </c>
      <c r="E55" s="137" t="str">
        <f t="shared" si="4"/>
        <v>#REF!</v>
      </c>
      <c r="F55" s="88" t="str">
        <f t="shared" si="5"/>
        <v>#REF!</v>
      </c>
      <c r="G55" s="128">
        <f>'PAINEL DE CONTROLE'!$G$8</f>
        <v>29012</v>
      </c>
      <c r="H55" s="128">
        <v>25198.0</v>
      </c>
      <c r="I55" s="128" t="str">
        <f t="shared" si="1"/>
        <v>#REF!</v>
      </c>
      <c r="J55" s="128" t="str">
        <f t="shared" si="2"/>
        <v>#REF!</v>
      </c>
      <c r="K55" s="60"/>
      <c r="L55" s="31"/>
      <c r="M55" s="61"/>
      <c r="N55" s="60"/>
      <c r="O55" s="31"/>
      <c r="P55" s="61"/>
      <c r="Q55" s="60"/>
      <c r="R55" s="31"/>
      <c r="S55" s="61"/>
      <c r="T55" s="60"/>
      <c r="U55" s="31"/>
      <c r="V55" s="61"/>
      <c r="W55" s="60"/>
      <c r="X55" s="31"/>
      <c r="Y55" s="61"/>
      <c r="Z55" s="60"/>
      <c r="AA55" s="31"/>
      <c r="AB55" s="61"/>
      <c r="AC55" s="60"/>
      <c r="AD55" s="31"/>
      <c r="AE55" s="61"/>
      <c r="AF55" s="60"/>
      <c r="AG55" s="31"/>
      <c r="AH55" s="61"/>
      <c r="AI55" s="60"/>
      <c r="AJ55" s="31"/>
      <c r="AK55" s="61"/>
      <c r="AL55" s="60"/>
      <c r="AM55" s="31"/>
      <c r="AN55" s="61"/>
      <c r="AO55" s="60"/>
      <c r="AP55" s="31"/>
      <c r="AQ55" s="61"/>
      <c r="AR55" s="60"/>
      <c r="AS55" s="31"/>
      <c r="AT55" s="61"/>
    </row>
    <row r="56" ht="48.75" customHeight="1">
      <c r="A56" s="64" t="s">
        <v>1113</v>
      </c>
      <c r="B56" s="64" t="str">
        <f>VLOOKUP(C56,[1]Saldo!A55:B31328,2,0)</f>
        <v>#ERROR!</v>
      </c>
      <c r="C56" s="138" t="s">
        <v>1114</v>
      </c>
      <c r="D56" s="138" t="str">
        <f t="shared" si="3"/>
        <v>#REF!</v>
      </c>
      <c r="E56" s="182" t="str">
        <f t="shared" si="4"/>
        <v>#REF!</v>
      </c>
      <c r="F56" s="138" t="str">
        <f t="shared" si="5"/>
        <v>#REF!</v>
      </c>
      <c r="G56" s="128">
        <f>'PAINEL DE CONTROLE'!$G$8</f>
        <v>29012</v>
      </c>
      <c r="H56" s="128">
        <v>25198.0</v>
      </c>
      <c r="I56" s="128" t="str">
        <f t="shared" si="1"/>
        <v>#REF!</v>
      </c>
      <c r="J56" s="128" t="str">
        <f t="shared" si="2"/>
        <v>#REF!</v>
      </c>
      <c r="K56" s="60"/>
      <c r="L56" s="31"/>
      <c r="M56" s="61"/>
      <c r="N56" s="60"/>
      <c r="O56" s="31"/>
      <c r="P56" s="61"/>
      <c r="Q56" s="60"/>
      <c r="R56" s="31"/>
      <c r="S56" s="61"/>
      <c r="T56" s="60"/>
      <c r="U56" s="31"/>
      <c r="V56" s="61"/>
      <c r="W56" s="60"/>
      <c r="X56" s="31"/>
      <c r="Y56" s="61"/>
      <c r="Z56" s="60"/>
      <c r="AA56" s="31"/>
      <c r="AB56" s="61"/>
      <c r="AC56" s="60"/>
      <c r="AD56" s="31"/>
      <c r="AE56" s="61"/>
      <c r="AF56" s="60"/>
      <c r="AG56" s="31"/>
      <c r="AH56" s="61"/>
      <c r="AI56" s="60"/>
      <c r="AJ56" s="31"/>
      <c r="AK56" s="61"/>
      <c r="AL56" s="60"/>
      <c r="AM56" s="31"/>
      <c r="AN56" s="61"/>
      <c r="AO56" s="60"/>
      <c r="AP56" s="31"/>
      <c r="AQ56" s="61"/>
      <c r="AR56" s="60"/>
      <c r="AS56" s="31"/>
      <c r="AT56" s="61"/>
    </row>
    <row r="57" ht="24.0" customHeight="1">
      <c r="A57" s="64" t="s">
        <v>1115</v>
      </c>
      <c r="B57" s="50" t="str">
        <f>VLOOKUP(C57,[1]Saldo!A56:B31329,2,0)</f>
        <v>#ERROR!</v>
      </c>
      <c r="C57" s="180" t="s">
        <v>1116</v>
      </c>
      <c r="D57" s="180" t="str">
        <f t="shared" si="3"/>
        <v>#REF!</v>
      </c>
      <c r="E57" s="181" t="str">
        <f t="shared" si="4"/>
        <v>#REF!</v>
      </c>
      <c r="F57" s="180" t="str">
        <f t="shared" si="5"/>
        <v>#REF!</v>
      </c>
      <c r="G57" s="128">
        <f>'PAINEL DE CONTROLE'!$G$8</f>
        <v>29012</v>
      </c>
      <c r="H57" s="128">
        <v>25198.0</v>
      </c>
      <c r="I57" s="128" t="str">
        <f t="shared" si="1"/>
        <v>#REF!</v>
      </c>
      <c r="J57" s="128" t="str">
        <f t="shared" si="2"/>
        <v>#REF!</v>
      </c>
      <c r="K57" s="60"/>
      <c r="L57" s="31"/>
      <c r="M57" s="61"/>
      <c r="N57" s="60"/>
      <c r="O57" s="31"/>
      <c r="P57" s="61"/>
      <c r="Q57" s="60"/>
      <c r="R57" s="31"/>
      <c r="S57" s="61"/>
      <c r="T57" s="60"/>
      <c r="U57" s="31"/>
      <c r="V57" s="61"/>
      <c r="W57" s="60"/>
      <c r="X57" s="31"/>
      <c r="Y57" s="61"/>
      <c r="Z57" s="60"/>
      <c r="AA57" s="31"/>
      <c r="AB57" s="61"/>
      <c r="AC57" s="60"/>
      <c r="AD57" s="31"/>
      <c r="AE57" s="61"/>
      <c r="AF57" s="60"/>
      <c r="AG57" s="31"/>
      <c r="AH57" s="61"/>
      <c r="AI57" s="60"/>
      <c r="AJ57" s="31"/>
      <c r="AK57" s="61"/>
      <c r="AL57" s="60"/>
      <c r="AM57" s="31"/>
      <c r="AN57" s="61"/>
      <c r="AO57" s="60"/>
      <c r="AP57" s="31"/>
      <c r="AQ57" s="61"/>
      <c r="AR57" s="60"/>
      <c r="AS57" s="31"/>
      <c r="AT57" s="61"/>
    </row>
    <row r="58" ht="24.0" customHeight="1">
      <c r="A58" s="63"/>
      <c r="B58" s="50" t="str">
        <f>VLOOKUP(C58,[1]Saldo!A57:B31330,2,0)</f>
        <v>#ERROR!</v>
      </c>
      <c r="C58" s="180" t="s">
        <v>1117</v>
      </c>
      <c r="D58" s="180" t="str">
        <f t="shared" si="3"/>
        <v>#REF!</v>
      </c>
      <c r="E58" s="181" t="str">
        <f t="shared" si="4"/>
        <v>#REF!</v>
      </c>
      <c r="F58" s="180" t="str">
        <f t="shared" si="5"/>
        <v>#REF!</v>
      </c>
      <c r="G58" s="128">
        <f>'PAINEL DE CONTROLE'!$G$8</f>
        <v>29012</v>
      </c>
      <c r="H58" s="128">
        <v>25198.0</v>
      </c>
      <c r="I58" s="128" t="str">
        <f t="shared" si="1"/>
        <v>#REF!</v>
      </c>
      <c r="J58" s="128" t="str">
        <f t="shared" si="2"/>
        <v>#REF!</v>
      </c>
      <c r="K58" s="60"/>
      <c r="L58" s="31"/>
      <c r="M58" s="61"/>
      <c r="N58" s="60"/>
      <c r="O58" s="31"/>
      <c r="P58" s="61"/>
      <c r="Q58" s="60"/>
      <c r="R58" s="31"/>
      <c r="S58" s="61"/>
      <c r="T58" s="60"/>
      <c r="U58" s="31"/>
      <c r="V58" s="61"/>
      <c r="W58" s="60"/>
      <c r="X58" s="31"/>
      <c r="Y58" s="61"/>
      <c r="Z58" s="60"/>
      <c r="AA58" s="31"/>
      <c r="AB58" s="61"/>
      <c r="AC58" s="60"/>
      <c r="AD58" s="31"/>
      <c r="AE58" s="61"/>
      <c r="AF58" s="60"/>
      <c r="AG58" s="31"/>
      <c r="AH58" s="61"/>
      <c r="AI58" s="60"/>
      <c r="AJ58" s="31"/>
      <c r="AK58" s="61"/>
      <c r="AL58" s="60"/>
      <c r="AM58" s="31"/>
      <c r="AN58" s="61"/>
      <c r="AO58" s="60"/>
      <c r="AP58" s="31"/>
      <c r="AQ58" s="61"/>
      <c r="AR58" s="60"/>
      <c r="AS58" s="31"/>
      <c r="AT58" s="61"/>
    </row>
    <row r="59" ht="24.0" customHeight="1">
      <c r="A59" s="183" t="s">
        <v>1118</v>
      </c>
      <c r="B59" s="184" t="str">
        <f>VLOOKUP(C59,[1]Saldo!A58:B31331,2,0)</f>
        <v>#ERROR!</v>
      </c>
      <c r="C59" s="185" t="s">
        <v>1074</v>
      </c>
      <c r="D59" s="185" t="str">
        <f t="shared" si="3"/>
        <v>#REF!</v>
      </c>
      <c r="E59" s="186">
        <v>3.0</v>
      </c>
      <c r="F59" s="185" t="str">
        <f t="shared" si="5"/>
        <v>#REF!</v>
      </c>
      <c r="G59" s="128">
        <f>'PAINEL DE CONTROLE'!$G$8</f>
        <v>29012</v>
      </c>
      <c r="H59" s="128">
        <v>25198.0</v>
      </c>
      <c r="I59" s="128" t="str">
        <f t="shared" si="1"/>
        <v>#REF!</v>
      </c>
      <c r="J59" s="128" t="str">
        <f t="shared" si="2"/>
        <v>#REF!</v>
      </c>
      <c r="K59" s="60"/>
      <c r="L59" s="31"/>
      <c r="M59" s="61"/>
      <c r="N59" s="60"/>
      <c r="O59" s="31"/>
      <c r="P59" s="61"/>
      <c r="Q59" s="60"/>
      <c r="R59" s="31"/>
      <c r="S59" s="61"/>
      <c r="T59" s="60"/>
      <c r="U59" s="31"/>
      <c r="V59" s="61"/>
      <c r="W59" s="60"/>
      <c r="X59" s="31"/>
      <c r="Y59" s="61"/>
      <c r="Z59" s="60"/>
      <c r="AA59" s="31"/>
      <c r="AB59" s="61"/>
      <c r="AC59" s="60"/>
      <c r="AD59" s="31"/>
      <c r="AE59" s="61"/>
      <c r="AF59" s="60"/>
      <c r="AG59" s="31"/>
      <c r="AH59" s="61"/>
      <c r="AI59" s="60"/>
      <c r="AJ59" s="31"/>
      <c r="AK59" s="61"/>
      <c r="AL59" s="60"/>
      <c r="AM59" s="31"/>
      <c r="AN59" s="61"/>
      <c r="AO59" s="60"/>
      <c r="AP59" s="31"/>
      <c r="AQ59" s="61"/>
      <c r="AR59" s="60"/>
      <c r="AS59" s="31"/>
      <c r="AT59" s="61"/>
    </row>
    <row r="60" ht="24.0" customHeight="1">
      <c r="A60" s="62"/>
      <c r="B60" s="51" t="str">
        <f>VLOOKUP(C60,[1]Saldo!A59:B31332,2,0)</f>
        <v>#ERROR!</v>
      </c>
      <c r="C60" s="88" t="s">
        <v>1059</v>
      </c>
      <c r="D60" s="88" t="str">
        <f t="shared" si="3"/>
        <v>#REF!</v>
      </c>
      <c r="E60" s="137" t="str">
        <f t="shared" ref="E60:E61" si="6">'[1]PARAMETROS PREVENTIVA'!$D725</f>
        <v>#REF!</v>
      </c>
      <c r="F60" s="88" t="str">
        <f t="shared" si="5"/>
        <v>#REF!</v>
      </c>
      <c r="G60" s="128">
        <f>'PAINEL DE CONTROLE'!$G$8</f>
        <v>29012</v>
      </c>
      <c r="H60" s="128">
        <v>25198.0</v>
      </c>
      <c r="I60" s="128" t="str">
        <f t="shared" si="1"/>
        <v>#REF!</v>
      </c>
      <c r="J60" s="128" t="str">
        <f t="shared" si="2"/>
        <v>#REF!</v>
      </c>
      <c r="K60" s="60"/>
      <c r="L60" s="31"/>
      <c r="M60" s="61"/>
      <c r="N60" s="60"/>
      <c r="O60" s="31"/>
      <c r="P60" s="61"/>
      <c r="Q60" s="60"/>
      <c r="R60" s="31"/>
      <c r="S60" s="61"/>
      <c r="T60" s="60"/>
      <c r="U60" s="31"/>
      <c r="V60" s="61"/>
      <c r="W60" s="60"/>
      <c r="X60" s="31"/>
      <c r="Y60" s="61"/>
      <c r="Z60" s="60"/>
      <c r="AA60" s="31"/>
      <c r="AB60" s="61"/>
      <c r="AC60" s="60"/>
      <c r="AD60" s="31"/>
      <c r="AE60" s="61"/>
      <c r="AF60" s="60"/>
      <c r="AG60" s="31"/>
      <c r="AH60" s="61"/>
      <c r="AI60" s="60"/>
      <c r="AJ60" s="31"/>
      <c r="AK60" s="61"/>
      <c r="AL60" s="60"/>
      <c r="AM60" s="31"/>
      <c r="AN60" s="61"/>
      <c r="AO60" s="60"/>
      <c r="AP60" s="31"/>
      <c r="AQ60" s="61"/>
      <c r="AR60" s="60"/>
      <c r="AS60" s="31"/>
      <c r="AT60" s="61"/>
    </row>
    <row r="61" ht="24.0" customHeight="1">
      <c r="A61" s="62"/>
      <c r="B61" s="51" t="str">
        <f>VLOOKUP(C61,[1]Saldo!A60:B31333,2,0)</f>
        <v>#ERROR!</v>
      </c>
      <c r="C61" s="88" t="s">
        <v>1119</v>
      </c>
      <c r="D61" s="88" t="str">
        <f t="shared" si="3"/>
        <v>#REF!</v>
      </c>
      <c r="E61" s="137" t="str">
        <f t="shared" si="6"/>
        <v>#REF!</v>
      </c>
      <c r="F61" s="88" t="str">
        <f t="shared" si="5"/>
        <v>#REF!</v>
      </c>
      <c r="G61" s="128">
        <f>'PAINEL DE CONTROLE'!$G$8</f>
        <v>29012</v>
      </c>
      <c r="H61" s="128">
        <v>25198.0</v>
      </c>
      <c r="I61" s="128" t="str">
        <f t="shared" si="1"/>
        <v>#REF!</v>
      </c>
      <c r="J61" s="128" t="str">
        <f t="shared" si="2"/>
        <v>#REF!</v>
      </c>
      <c r="K61" s="60"/>
      <c r="L61" s="31"/>
      <c r="M61" s="61"/>
      <c r="N61" s="60"/>
      <c r="O61" s="31"/>
      <c r="P61" s="61"/>
      <c r="Q61" s="60"/>
      <c r="R61" s="31"/>
      <c r="S61" s="61"/>
      <c r="T61" s="60"/>
      <c r="U61" s="31"/>
      <c r="V61" s="61"/>
      <c r="W61" s="60"/>
      <c r="X61" s="31"/>
      <c r="Y61" s="61"/>
      <c r="Z61" s="60"/>
      <c r="AA61" s="31"/>
      <c r="AB61" s="61"/>
      <c r="AC61" s="60"/>
      <c r="AD61" s="31"/>
      <c r="AE61" s="61"/>
      <c r="AF61" s="60"/>
      <c r="AG61" s="31"/>
      <c r="AH61" s="61"/>
      <c r="AI61" s="60"/>
      <c r="AJ61" s="31"/>
      <c r="AK61" s="61"/>
      <c r="AL61" s="60"/>
      <c r="AM61" s="31"/>
      <c r="AN61" s="61"/>
      <c r="AO61" s="60"/>
      <c r="AP61" s="31"/>
      <c r="AQ61" s="61"/>
      <c r="AR61" s="60"/>
      <c r="AS61" s="31"/>
      <c r="AT61" s="61"/>
    </row>
    <row r="62" ht="24.0" customHeight="1">
      <c r="A62" s="62"/>
      <c r="B62" s="51" t="str">
        <f>VLOOKUP(C62,[1]Saldo!A61:B31334,2,0)</f>
        <v>#ERROR!</v>
      </c>
      <c r="C62" s="88" t="s">
        <v>1120</v>
      </c>
      <c r="D62" s="88" t="str">
        <f t="shared" ref="D62:D71" si="7">'[1]PARAMETROS PREVENTIVA'!$C728</f>
        <v>#REF!</v>
      </c>
      <c r="E62" s="137" t="str">
        <f t="shared" ref="E62:E71" si="8">'[1]PARAMETROS PREVENTIVA'!$D728</f>
        <v>#REF!</v>
      </c>
      <c r="F62" s="88" t="str">
        <f t="shared" ref="F62:F71" si="9">'[1]PARAMETROS PREVENTIVA'!$E728</f>
        <v>#REF!</v>
      </c>
      <c r="G62" s="128">
        <f>'PAINEL DE CONTROLE'!$G$8</f>
        <v>29012</v>
      </c>
      <c r="H62" s="128">
        <v>25198.0</v>
      </c>
      <c r="I62" s="128" t="str">
        <f t="shared" si="1"/>
        <v>#REF!</v>
      </c>
      <c r="J62" s="128" t="str">
        <f t="shared" si="2"/>
        <v>#REF!</v>
      </c>
      <c r="K62" s="60"/>
      <c r="L62" s="31"/>
      <c r="M62" s="61"/>
      <c r="N62" s="60"/>
      <c r="O62" s="31"/>
      <c r="P62" s="61"/>
      <c r="Q62" s="60"/>
      <c r="R62" s="31"/>
      <c r="S62" s="61"/>
      <c r="T62" s="60"/>
      <c r="U62" s="31"/>
      <c r="V62" s="61"/>
      <c r="W62" s="60"/>
      <c r="X62" s="31"/>
      <c r="Y62" s="61"/>
      <c r="Z62" s="60"/>
      <c r="AA62" s="31"/>
      <c r="AB62" s="61"/>
      <c r="AC62" s="60"/>
      <c r="AD62" s="31"/>
      <c r="AE62" s="61"/>
      <c r="AF62" s="60"/>
      <c r="AG62" s="31"/>
      <c r="AH62" s="61"/>
      <c r="AI62" s="60"/>
      <c r="AJ62" s="31"/>
      <c r="AK62" s="61"/>
      <c r="AL62" s="60"/>
      <c r="AM62" s="31"/>
      <c r="AN62" s="61"/>
      <c r="AO62" s="60"/>
      <c r="AP62" s="31"/>
      <c r="AQ62" s="61"/>
      <c r="AR62" s="60"/>
      <c r="AS62" s="31"/>
      <c r="AT62" s="61"/>
    </row>
    <row r="63" ht="24.0" customHeight="1">
      <c r="A63" s="63"/>
      <c r="B63" s="51" t="str">
        <f>VLOOKUP(C63,[1]Saldo!A62:B31335,2,0)</f>
        <v>#ERROR!</v>
      </c>
      <c r="C63" s="88" t="s">
        <v>1121</v>
      </c>
      <c r="D63" s="88" t="str">
        <f t="shared" si="7"/>
        <v>#REF!</v>
      </c>
      <c r="E63" s="137" t="str">
        <f t="shared" si="8"/>
        <v>#REF!</v>
      </c>
      <c r="F63" s="88" t="str">
        <f t="shared" si="9"/>
        <v>#REF!</v>
      </c>
      <c r="G63" s="128">
        <f>'PAINEL DE CONTROLE'!$G$8</f>
        <v>29012</v>
      </c>
      <c r="H63" s="128">
        <v>25198.0</v>
      </c>
      <c r="I63" s="128" t="str">
        <f t="shared" si="1"/>
        <v>#REF!</v>
      </c>
      <c r="J63" s="128" t="str">
        <f t="shared" si="2"/>
        <v>#REF!</v>
      </c>
      <c r="K63" s="60"/>
      <c r="L63" s="31"/>
      <c r="M63" s="61"/>
      <c r="N63" s="60"/>
      <c r="O63" s="31"/>
      <c r="P63" s="61"/>
      <c r="Q63" s="60"/>
      <c r="R63" s="31"/>
      <c r="S63" s="61"/>
      <c r="T63" s="60"/>
      <c r="U63" s="31"/>
      <c r="V63" s="61"/>
      <c r="W63" s="60"/>
      <c r="X63" s="31"/>
      <c r="Y63" s="61"/>
      <c r="Z63" s="60"/>
      <c r="AA63" s="31"/>
      <c r="AB63" s="61"/>
      <c r="AC63" s="60"/>
      <c r="AD63" s="31"/>
      <c r="AE63" s="61"/>
      <c r="AF63" s="60"/>
      <c r="AG63" s="31"/>
      <c r="AH63" s="61"/>
      <c r="AI63" s="60"/>
      <c r="AJ63" s="31"/>
      <c r="AK63" s="61"/>
      <c r="AL63" s="60"/>
      <c r="AM63" s="31"/>
      <c r="AN63" s="61"/>
      <c r="AO63" s="60"/>
      <c r="AP63" s="31"/>
      <c r="AQ63" s="61"/>
      <c r="AR63" s="60"/>
      <c r="AS63" s="31"/>
      <c r="AT63" s="61"/>
    </row>
    <row r="64" ht="53.25" customHeight="1">
      <c r="A64" s="51" t="s">
        <v>1122</v>
      </c>
      <c r="B64" s="51" t="str">
        <f>VLOOKUP(C64,[1]Saldo!A63:B31336,2,0)</f>
        <v>#ERROR!</v>
      </c>
      <c r="C64" s="88" t="s">
        <v>1123</v>
      </c>
      <c r="D64" s="88" t="str">
        <f t="shared" si="7"/>
        <v>#REF!</v>
      </c>
      <c r="E64" s="137" t="str">
        <f t="shared" si="8"/>
        <v>#REF!</v>
      </c>
      <c r="F64" s="88" t="str">
        <f t="shared" si="9"/>
        <v>#REF!</v>
      </c>
      <c r="G64" s="128">
        <f>'PAINEL DE CONTROLE'!$G$8</f>
        <v>29012</v>
      </c>
      <c r="H64" s="128">
        <v>25198.0</v>
      </c>
      <c r="I64" s="128" t="str">
        <f t="shared" si="1"/>
        <v>#REF!</v>
      </c>
      <c r="J64" s="128" t="str">
        <f t="shared" si="2"/>
        <v>#REF!</v>
      </c>
      <c r="K64" s="60"/>
      <c r="L64" s="31"/>
      <c r="M64" s="61"/>
      <c r="N64" s="60"/>
      <c r="O64" s="31"/>
      <c r="P64" s="61"/>
      <c r="Q64" s="60"/>
      <c r="R64" s="31"/>
      <c r="S64" s="61"/>
      <c r="T64" s="60"/>
      <c r="U64" s="31"/>
      <c r="V64" s="61"/>
      <c r="W64" s="60"/>
      <c r="X64" s="31"/>
      <c r="Y64" s="61"/>
      <c r="Z64" s="60"/>
      <c r="AA64" s="31"/>
      <c r="AB64" s="61"/>
      <c r="AC64" s="60"/>
      <c r="AD64" s="31"/>
      <c r="AE64" s="61"/>
      <c r="AF64" s="60"/>
      <c r="AG64" s="31"/>
      <c r="AH64" s="61"/>
      <c r="AI64" s="60"/>
      <c r="AJ64" s="31"/>
      <c r="AK64" s="61"/>
      <c r="AL64" s="60"/>
      <c r="AM64" s="31"/>
      <c r="AN64" s="61"/>
      <c r="AO64" s="60"/>
      <c r="AP64" s="31"/>
      <c r="AQ64" s="61"/>
      <c r="AR64" s="60"/>
      <c r="AS64" s="31"/>
      <c r="AT64" s="61"/>
    </row>
    <row r="65" ht="24.0" customHeight="1">
      <c r="A65" s="64" t="s">
        <v>95</v>
      </c>
      <c r="B65" s="51" t="str">
        <f>VLOOKUP(C65,[1]Saldo!A64:B31337,2,0)</f>
        <v>#ERROR!</v>
      </c>
      <c r="C65" s="88" t="s">
        <v>1124</v>
      </c>
      <c r="D65" s="88" t="str">
        <f t="shared" si="7"/>
        <v>#REF!</v>
      </c>
      <c r="E65" s="137" t="str">
        <f t="shared" si="8"/>
        <v>#REF!</v>
      </c>
      <c r="F65" s="88" t="str">
        <f t="shared" si="9"/>
        <v>#REF!</v>
      </c>
      <c r="G65" s="128">
        <f>'PAINEL DE CONTROLE'!$G$8</f>
        <v>29012</v>
      </c>
      <c r="H65" s="128">
        <v>25198.0</v>
      </c>
      <c r="I65" s="128" t="str">
        <f t="shared" si="1"/>
        <v>#REF!</v>
      </c>
      <c r="J65" s="128" t="str">
        <f t="shared" si="2"/>
        <v>#REF!</v>
      </c>
      <c r="K65" s="60"/>
      <c r="L65" s="31"/>
      <c r="M65" s="61"/>
      <c r="N65" s="60"/>
      <c r="O65" s="31"/>
      <c r="P65" s="61"/>
      <c r="Q65" s="60"/>
      <c r="R65" s="31"/>
      <c r="S65" s="61"/>
      <c r="T65" s="60"/>
      <c r="U65" s="31"/>
      <c r="V65" s="61"/>
      <c r="W65" s="60"/>
      <c r="X65" s="31"/>
      <c r="Y65" s="61"/>
      <c r="Z65" s="60"/>
      <c r="AA65" s="31"/>
      <c r="AB65" s="61"/>
      <c r="AC65" s="60"/>
      <c r="AD65" s="31"/>
      <c r="AE65" s="61"/>
      <c r="AF65" s="60"/>
      <c r="AG65" s="31"/>
      <c r="AH65" s="61"/>
      <c r="AI65" s="60"/>
      <c r="AJ65" s="31"/>
      <c r="AK65" s="61"/>
      <c r="AL65" s="60"/>
      <c r="AM65" s="31"/>
      <c r="AN65" s="61"/>
      <c r="AO65" s="60"/>
      <c r="AP65" s="31"/>
      <c r="AQ65" s="61"/>
      <c r="AR65" s="60"/>
      <c r="AS65" s="31"/>
      <c r="AT65" s="61"/>
    </row>
    <row r="66" ht="24.0" customHeight="1">
      <c r="A66" s="62"/>
      <c r="B66" s="51" t="str">
        <f>VLOOKUP(C66,[1]Saldo!A65:B31338,2,0)</f>
        <v>#ERROR!</v>
      </c>
      <c r="C66" s="88" t="s">
        <v>1125</v>
      </c>
      <c r="D66" s="88" t="str">
        <f t="shared" si="7"/>
        <v>#REF!</v>
      </c>
      <c r="E66" s="137" t="str">
        <f t="shared" si="8"/>
        <v>#REF!</v>
      </c>
      <c r="F66" s="88" t="str">
        <f t="shared" si="9"/>
        <v>#REF!</v>
      </c>
      <c r="G66" s="128">
        <f>'PAINEL DE CONTROLE'!$G$8</f>
        <v>29012</v>
      </c>
      <c r="H66" s="128">
        <v>25198.0</v>
      </c>
      <c r="I66" s="128" t="str">
        <f t="shared" si="1"/>
        <v>#REF!</v>
      </c>
      <c r="J66" s="128" t="str">
        <f t="shared" si="2"/>
        <v>#REF!</v>
      </c>
      <c r="K66" s="60"/>
      <c r="L66" s="31"/>
      <c r="M66" s="61"/>
      <c r="N66" s="60"/>
      <c r="O66" s="31"/>
      <c r="P66" s="61"/>
      <c r="Q66" s="60"/>
      <c r="R66" s="31"/>
      <c r="S66" s="61"/>
      <c r="T66" s="60"/>
      <c r="U66" s="31"/>
      <c r="V66" s="61"/>
      <c r="W66" s="60"/>
      <c r="X66" s="31"/>
      <c r="Y66" s="61"/>
      <c r="Z66" s="60"/>
      <c r="AA66" s="31"/>
      <c r="AB66" s="61"/>
      <c r="AC66" s="60"/>
      <c r="AD66" s="31"/>
      <c r="AE66" s="61"/>
      <c r="AF66" s="60"/>
      <c r="AG66" s="31"/>
      <c r="AH66" s="61"/>
      <c r="AI66" s="60"/>
      <c r="AJ66" s="31"/>
      <c r="AK66" s="61"/>
      <c r="AL66" s="60"/>
      <c r="AM66" s="31"/>
      <c r="AN66" s="61"/>
      <c r="AO66" s="60"/>
      <c r="AP66" s="31"/>
      <c r="AQ66" s="61"/>
      <c r="AR66" s="60"/>
      <c r="AS66" s="31"/>
      <c r="AT66" s="61"/>
    </row>
    <row r="67" ht="24.0" customHeight="1">
      <c r="A67" s="62"/>
      <c r="B67" s="51" t="str">
        <f>VLOOKUP(C67,[1]Saldo!A66:B31339,2,0)</f>
        <v>#ERROR!</v>
      </c>
      <c r="C67" s="88" t="s">
        <v>1126</v>
      </c>
      <c r="D67" s="88" t="str">
        <f t="shared" si="7"/>
        <v>#REF!</v>
      </c>
      <c r="E67" s="137" t="str">
        <f t="shared" si="8"/>
        <v>#REF!</v>
      </c>
      <c r="F67" s="88" t="str">
        <f t="shared" si="9"/>
        <v>#REF!</v>
      </c>
      <c r="G67" s="128">
        <f>'PAINEL DE CONTROLE'!$G$8</f>
        <v>29012</v>
      </c>
      <c r="H67" s="128">
        <v>25198.0</v>
      </c>
      <c r="I67" s="128" t="str">
        <f t="shared" si="1"/>
        <v>#REF!</v>
      </c>
      <c r="J67" s="128" t="str">
        <f t="shared" si="2"/>
        <v>#REF!</v>
      </c>
      <c r="K67" s="60"/>
      <c r="L67" s="31"/>
      <c r="M67" s="61"/>
      <c r="N67" s="60"/>
      <c r="O67" s="31"/>
      <c r="P67" s="61"/>
      <c r="Q67" s="60"/>
      <c r="R67" s="31"/>
      <c r="S67" s="61"/>
      <c r="T67" s="60"/>
      <c r="U67" s="31"/>
      <c r="V67" s="61"/>
      <c r="W67" s="60"/>
      <c r="X67" s="31"/>
      <c r="Y67" s="61"/>
      <c r="Z67" s="60"/>
      <c r="AA67" s="31"/>
      <c r="AB67" s="61"/>
      <c r="AC67" s="60"/>
      <c r="AD67" s="31"/>
      <c r="AE67" s="61"/>
      <c r="AF67" s="60"/>
      <c r="AG67" s="31"/>
      <c r="AH67" s="61"/>
      <c r="AI67" s="60"/>
      <c r="AJ67" s="31"/>
      <c r="AK67" s="61"/>
      <c r="AL67" s="60"/>
      <c r="AM67" s="31"/>
      <c r="AN67" s="61"/>
      <c r="AO67" s="60"/>
      <c r="AP67" s="31"/>
      <c r="AQ67" s="61"/>
      <c r="AR67" s="60"/>
      <c r="AS67" s="31"/>
      <c r="AT67" s="61"/>
    </row>
    <row r="68" ht="24.0" customHeight="1">
      <c r="A68" s="62"/>
      <c r="B68" s="51" t="str">
        <f>VLOOKUP(C68,[1]Saldo!A67:B31340,2,0)</f>
        <v>#ERROR!</v>
      </c>
      <c r="C68" s="88" t="s">
        <v>1127</v>
      </c>
      <c r="D68" s="88" t="str">
        <f t="shared" si="7"/>
        <v>#REF!</v>
      </c>
      <c r="E68" s="137" t="str">
        <f t="shared" si="8"/>
        <v>#REF!</v>
      </c>
      <c r="F68" s="88" t="str">
        <f t="shared" si="9"/>
        <v>#REF!</v>
      </c>
      <c r="G68" s="128">
        <f>'PAINEL DE CONTROLE'!$G$8</f>
        <v>29012</v>
      </c>
      <c r="H68" s="128">
        <v>25198.0</v>
      </c>
      <c r="I68" s="128" t="str">
        <f t="shared" si="1"/>
        <v>#REF!</v>
      </c>
      <c r="J68" s="128" t="str">
        <f t="shared" si="2"/>
        <v>#REF!</v>
      </c>
      <c r="K68" s="60"/>
      <c r="L68" s="31"/>
      <c r="M68" s="61"/>
      <c r="N68" s="60"/>
      <c r="O68" s="31"/>
      <c r="P68" s="61"/>
      <c r="Q68" s="60"/>
      <c r="R68" s="31"/>
      <c r="S68" s="61"/>
      <c r="T68" s="60"/>
      <c r="U68" s="31"/>
      <c r="V68" s="61"/>
      <c r="W68" s="60"/>
      <c r="X68" s="31"/>
      <c r="Y68" s="61"/>
      <c r="Z68" s="60"/>
      <c r="AA68" s="31"/>
      <c r="AB68" s="61"/>
      <c r="AC68" s="60"/>
      <c r="AD68" s="31"/>
      <c r="AE68" s="61"/>
      <c r="AF68" s="60"/>
      <c r="AG68" s="31"/>
      <c r="AH68" s="61"/>
      <c r="AI68" s="60"/>
      <c r="AJ68" s="31"/>
      <c r="AK68" s="61"/>
      <c r="AL68" s="60"/>
      <c r="AM68" s="31"/>
      <c r="AN68" s="61"/>
      <c r="AO68" s="60"/>
      <c r="AP68" s="31"/>
      <c r="AQ68" s="61"/>
      <c r="AR68" s="60"/>
      <c r="AS68" s="31"/>
      <c r="AT68" s="61"/>
    </row>
    <row r="69" ht="24.0" customHeight="1">
      <c r="A69" s="62"/>
      <c r="B69" s="51" t="str">
        <f>VLOOKUP(C69,[1]Saldo!A68:B31341,2,0)</f>
        <v>#ERROR!</v>
      </c>
      <c r="C69" s="88" t="s">
        <v>1128</v>
      </c>
      <c r="D69" s="88" t="str">
        <f t="shared" si="7"/>
        <v>#REF!</v>
      </c>
      <c r="E69" s="137" t="str">
        <f t="shared" si="8"/>
        <v>#REF!</v>
      </c>
      <c r="F69" s="88" t="str">
        <f t="shared" si="9"/>
        <v>#REF!</v>
      </c>
      <c r="G69" s="128">
        <f>'PAINEL DE CONTROLE'!$G$8</f>
        <v>29012</v>
      </c>
      <c r="H69" s="128">
        <v>25198.0</v>
      </c>
      <c r="I69" s="128" t="str">
        <f t="shared" si="1"/>
        <v>#REF!</v>
      </c>
      <c r="J69" s="128" t="str">
        <f t="shared" si="2"/>
        <v>#REF!</v>
      </c>
      <c r="K69" s="60"/>
      <c r="L69" s="31"/>
      <c r="M69" s="61"/>
      <c r="N69" s="60"/>
      <c r="O69" s="31"/>
      <c r="P69" s="61"/>
      <c r="Q69" s="60"/>
      <c r="R69" s="31"/>
      <c r="S69" s="61"/>
      <c r="T69" s="60"/>
      <c r="U69" s="31"/>
      <c r="V69" s="61"/>
      <c r="W69" s="60"/>
      <c r="X69" s="31"/>
      <c r="Y69" s="61"/>
      <c r="Z69" s="60"/>
      <c r="AA69" s="31"/>
      <c r="AB69" s="61"/>
      <c r="AC69" s="60"/>
      <c r="AD69" s="31"/>
      <c r="AE69" s="61"/>
      <c r="AF69" s="60"/>
      <c r="AG69" s="31"/>
      <c r="AH69" s="61"/>
      <c r="AI69" s="60"/>
      <c r="AJ69" s="31"/>
      <c r="AK69" s="61"/>
      <c r="AL69" s="60"/>
      <c r="AM69" s="31"/>
      <c r="AN69" s="61"/>
      <c r="AO69" s="60"/>
      <c r="AP69" s="31"/>
      <c r="AQ69" s="61"/>
      <c r="AR69" s="60"/>
      <c r="AS69" s="31"/>
      <c r="AT69" s="61"/>
    </row>
    <row r="70" ht="24.0" customHeight="1">
      <c r="A70" s="62"/>
      <c r="B70" s="51" t="str">
        <f>VLOOKUP(C70,[1]Saldo!A69:B31342,2,0)</f>
        <v>#ERROR!</v>
      </c>
      <c r="C70" s="88" t="s">
        <v>1129</v>
      </c>
      <c r="D70" s="88" t="str">
        <f t="shared" si="7"/>
        <v>#REF!</v>
      </c>
      <c r="E70" s="137" t="str">
        <f t="shared" si="8"/>
        <v>#REF!</v>
      </c>
      <c r="F70" s="88" t="str">
        <f t="shared" si="9"/>
        <v>#REF!</v>
      </c>
      <c r="G70" s="128">
        <f>'PAINEL DE CONTROLE'!$G$8</f>
        <v>29012</v>
      </c>
      <c r="H70" s="128">
        <v>25198.0</v>
      </c>
      <c r="I70" s="128" t="str">
        <f t="shared" si="1"/>
        <v>#REF!</v>
      </c>
      <c r="J70" s="128" t="str">
        <f t="shared" si="2"/>
        <v>#REF!</v>
      </c>
      <c r="K70" s="60"/>
      <c r="L70" s="31"/>
      <c r="M70" s="61"/>
      <c r="N70" s="60"/>
      <c r="O70" s="31"/>
      <c r="P70" s="61"/>
      <c r="Q70" s="60"/>
      <c r="R70" s="31"/>
      <c r="S70" s="61"/>
      <c r="T70" s="60"/>
      <c r="U70" s="31"/>
      <c r="V70" s="61"/>
      <c r="W70" s="60"/>
      <c r="X70" s="31"/>
      <c r="Y70" s="61"/>
      <c r="Z70" s="60"/>
      <c r="AA70" s="31"/>
      <c r="AB70" s="61"/>
      <c r="AC70" s="60"/>
      <c r="AD70" s="31"/>
      <c r="AE70" s="61"/>
      <c r="AF70" s="60"/>
      <c r="AG70" s="31"/>
      <c r="AH70" s="61"/>
      <c r="AI70" s="60"/>
      <c r="AJ70" s="31"/>
      <c r="AK70" s="61"/>
      <c r="AL70" s="60"/>
      <c r="AM70" s="31"/>
      <c r="AN70" s="61"/>
      <c r="AO70" s="60"/>
      <c r="AP70" s="31"/>
      <c r="AQ70" s="61"/>
      <c r="AR70" s="60"/>
      <c r="AS70" s="31"/>
      <c r="AT70" s="61"/>
    </row>
    <row r="71" ht="24.0" customHeight="1">
      <c r="A71" s="63"/>
      <c r="B71" s="51" t="str">
        <f>VLOOKUP(C71,[1]Saldo!A70:B31343,2,0)</f>
        <v>#ERROR!</v>
      </c>
      <c r="C71" s="88" t="s">
        <v>1130</v>
      </c>
      <c r="D71" s="88" t="str">
        <f t="shared" si="7"/>
        <v>#REF!</v>
      </c>
      <c r="E71" s="137" t="str">
        <f t="shared" si="8"/>
        <v>#REF!</v>
      </c>
      <c r="F71" s="88" t="str">
        <f t="shared" si="9"/>
        <v>#REF!</v>
      </c>
      <c r="G71" s="128">
        <f>'PAINEL DE CONTROLE'!$G$8</f>
        <v>29012</v>
      </c>
      <c r="H71" s="128">
        <v>25198.0</v>
      </c>
      <c r="I71" s="128" t="str">
        <f t="shared" si="1"/>
        <v>#REF!</v>
      </c>
      <c r="J71" s="128" t="str">
        <f t="shared" si="2"/>
        <v>#REF!</v>
      </c>
      <c r="K71" s="107"/>
      <c r="L71" s="108"/>
      <c r="M71" s="109"/>
      <c r="N71" s="107"/>
      <c r="O71" s="108"/>
      <c r="P71" s="109"/>
      <c r="Q71" s="107"/>
      <c r="R71" s="108"/>
      <c r="S71" s="109"/>
      <c r="T71" s="107"/>
      <c r="U71" s="108"/>
      <c r="V71" s="109"/>
      <c r="W71" s="107"/>
      <c r="X71" s="108"/>
      <c r="Y71" s="109"/>
      <c r="Z71" s="107"/>
      <c r="AA71" s="108"/>
      <c r="AB71" s="109"/>
      <c r="AC71" s="107"/>
      <c r="AD71" s="108"/>
      <c r="AE71" s="109"/>
      <c r="AF71" s="107"/>
      <c r="AG71" s="108"/>
      <c r="AH71" s="109"/>
      <c r="AI71" s="107"/>
      <c r="AJ71" s="108"/>
      <c r="AK71" s="109"/>
      <c r="AL71" s="107"/>
      <c r="AM71" s="108"/>
      <c r="AN71" s="109"/>
      <c r="AO71" s="107"/>
      <c r="AP71" s="108"/>
      <c r="AQ71" s="109"/>
      <c r="AR71" s="107"/>
      <c r="AS71" s="108"/>
      <c r="AT71" s="10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1:A53"/>
    <mergeCell ref="A54:A55"/>
    <mergeCell ref="A57:A58"/>
    <mergeCell ref="A59:A63"/>
    <mergeCell ref="A65:A71"/>
    <mergeCell ref="A1:J1"/>
    <mergeCell ref="A3:A9"/>
    <mergeCell ref="A10:A12"/>
    <mergeCell ref="A13:A15"/>
    <mergeCell ref="A16:A22"/>
    <mergeCell ref="A24:A33"/>
    <mergeCell ref="A34:A49"/>
  </mergeCells>
  <conditionalFormatting sqref="J2">
    <cfRule type="cellIs" dxfId="7" priority="1" operator="lessThan">
      <formula>500</formula>
    </cfRule>
  </conditionalFormatting>
  <conditionalFormatting sqref="J3:J71">
    <cfRule type="cellIs" dxfId="8" priority="2" operator="between">
      <formula>48</formula>
      <formula>960</formula>
    </cfRule>
  </conditionalFormatting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12.57"/>
    <col customWidth="1" min="3" max="3" width="22.0"/>
    <col customWidth="1" min="4" max="4" width="23.71"/>
    <col customWidth="1" min="5" max="5" width="84.29"/>
    <col customWidth="1" min="6" max="6" width="13.29"/>
    <col customWidth="1" min="7" max="7" width="18.0"/>
    <col customWidth="1" min="8" max="8" width="16.29"/>
    <col customWidth="1" min="9" max="10" width="15.57"/>
    <col customWidth="1" min="11" max="11" width="16.71"/>
    <col customWidth="1" min="12" max="12" width="22.57"/>
    <col customWidth="1" min="13" max="13" width="61.14"/>
    <col customWidth="1" min="14" max="15" width="22.57"/>
    <col customWidth="1" min="16" max="16" width="61.14"/>
    <col customWidth="1" min="17" max="18" width="22.57"/>
    <col customWidth="1" min="19" max="19" width="61.14"/>
    <col customWidth="1" min="20" max="21" width="22.57"/>
    <col customWidth="1" min="22" max="22" width="61.14"/>
    <col customWidth="1" min="23" max="24" width="22.57"/>
    <col customWidth="1" min="25" max="25" width="61.14"/>
    <col customWidth="1" min="26" max="27" width="22.57"/>
    <col customWidth="1" min="28" max="28" width="61.14"/>
    <col customWidth="1" min="29" max="30" width="22.57"/>
    <col customWidth="1" min="31" max="31" width="61.14"/>
    <col customWidth="1" min="32" max="33" width="22.57"/>
    <col customWidth="1" min="34" max="34" width="61.14"/>
    <col customWidth="1" min="35" max="36" width="22.57"/>
    <col customWidth="1" min="37" max="37" width="61.14"/>
    <col customWidth="1" min="38" max="39" width="22.57"/>
    <col customWidth="1" min="40" max="40" width="61.14"/>
    <col customWidth="1" min="41" max="42" width="22.57"/>
    <col customWidth="1" min="43" max="43" width="61.14"/>
    <col customWidth="1" min="44" max="45" width="22.57"/>
    <col customWidth="1" min="46" max="46" width="61.14"/>
    <col customWidth="1" min="47" max="47" width="22.57"/>
  </cols>
  <sheetData>
    <row r="1" ht="46.5" customHeight="1">
      <c r="A1" s="187" t="s">
        <v>1131</v>
      </c>
      <c r="B1" s="2"/>
      <c r="C1" s="2"/>
      <c r="D1" s="2"/>
      <c r="E1" s="2"/>
      <c r="F1" s="2"/>
      <c r="G1" s="2"/>
      <c r="H1" s="2"/>
      <c r="I1" s="2"/>
      <c r="J1" s="2"/>
      <c r="K1" s="3"/>
      <c r="L1" s="139"/>
      <c r="M1" s="140"/>
      <c r="N1" s="141"/>
      <c r="O1" s="139"/>
      <c r="P1" s="140"/>
      <c r="Q1" s="141"/>
      <c r="R1" s="139"/>
      <c r="S1" s="140"/>
      <c r="T1" s="141"/>
      <c r="U1" s="139"/>
      <c r="V1" s="140"/>
      <c r="W1" s="141"/>
      <c r="X1" s="139"/>
      <c r="Y1" s="140"/>
      <c r="Z1" s="141"/>
      <c r="AA1" s="139"/>
      <c r="AB1" s="140"/>
      <c r="AC1" s="141"/>
      <c r="AD1" s="139"/>
      <c r="AE1" s="140"/>
      <c r="AF1" s="141"/>
      <c r="AG1" s="139"/>
      <c r="AH1" s="140"/>
      <c r="AI1" s="141"/>
      <c r="AJ1" s="139"/>
      <c r="AK1" s="140"/>
      <c r="AL1" s="141"/>
      <c r="AM1" s="139"/>
      <c r="AN1" s="140"/>
      <c r="AO1" s="141"/>
      <c r="AP1" s="139"/>
      <c r="AQ1" s="140"/>
      <c r="AR1" s="141"/>
      <c r="AS1" s="139"/>
      <c r="AT1" s="140"/>
      <c r="AU1" s="141"/>
    </row>
    <row r="2" ht="36.75" customHeight="1">
      <c r="A2" s="142" t="s">
        <v>96</v>
      </c>
      <c r="B2" s="142" t="s">
        <v>97</v>
      </c>
      <c r="C2" s="188" t="s">
        <v>98</v>
      </c>
      <c r="D2" s="142" t="s">
        <v>99</v>
      </c>
      <c r="E2" s="142" t="s">
        <v>100</v>
      </c>
      <c r="F2" s="145" t="s">
        <v>101</v>
      </c>
      <c r="G2" s="142" t="s">
        <v>506</v>
      </c>
      <c r="H2" s="142" t="s">
        <v>103</v>
      </c>
      <c r="I2" s="142" t="s">
        <v>104</v>
      </c>
      <c r="J2" s="142" t="s">
        <v>105</v>
      </c>
      <c r="K2" s="142" t="s">
        <v>106</v>
      </c>
      <c r="L2" s="47" t="s">
        <v>107</v>
      </c>
      <c r="M2" s="45" t="s">
        <v>108</v>
      </c>
      <c r="N2" s="126" t="s">
        <v>109</v>
      </c>
      <c r="O2" s="47" t="s">
        <v>107</v>
      </c>
      <c r="P2" s="45" t="s">
        <v>108</v>
      </c>
      <c r="Q2" s="126" t="s">
        <v>109</v>
      </c>
      <c r="R2" s="47" t="s">
        <v>107</v>
      </c>
      <c r="S2" s="45" t="s">
        <v>108</v>
      </c>
      <c r="T2" s="126" t="s">
        <v>109</v>
      </c>
      <c r="U2" s="47" t="s">
        <v>107</v>
      </c>
      <c r="V2" s="45" t="s">
        <v>108</v>
      </c>
      <c r="W2" s="126" t="s">
        <v>109</v>
      </c>
      <c r="X2" s="47" t="s">
        <v>107</v>
      </c>
      <c r="Y2" s="45" t="s">
        <v>108</v>
      </c>
      <c r="Z2" s="126" t="s">
        <v>109</v>
      </c>
      <c r="AA2" s="47" t="s">
        <v>107</v>
      </c>
      <c r="AB2" s="45" t="s">
        <v>108</v>
      </c>
      <c r="AC2" s="126" t="s">
        <v>109</v>
      </c>
      <c r="AD2" s="47" t="s">
        <v>107</v>
      </c>
      <c r="AE2" s="45" t="s">
        <v>108</v>
      </c>
      <c r="AF2" s="126" t="s">
        <v>109</v>
      </c>
      <c r="AG2" s="47" t="s">
        <v>107</v>
      </c>
      <c r="AH2" s="45" t="s">
        <v>108</v>
      </c>
      <c r="AI2" s="126" t="s">
        <v>109</v>
      </c>
      <c r="AJ2" s="47" t="s">
        <v>107</v>
      </c>
      <c r="AK2" s="45" t="s">
        <v>108</v>
      </c>
      <c r="AL2" s="126" t="s">
        <v>109</v>
      </c>
      <c r="AM2" s="47" t="s">
        <v>107</v>
      </c>
      <c r="AN2" s="45" t="s">
        <v>108</v>
      </c>
      <c r="AO2" s="126" t="s">
        <v>109</v>
      </c>
      <c r="AP2" s="47" t="s">
        <v>107</v>
      </c>
      <c r="AQ2" s="45" t="s">
        <v>108</v>
      </c>
      <c r="AR2" s="126" t="s">
        <v>109</v>
      </c>
      <c r="AS2" s="47" t="s">
        <v>107</v>
      </c>
      <c r="AT2" s="45" t="s">
        <v>108</v>
      </c>
      <c r="AU2" s="126" t="s">
        <v>109</v>
      </c>
    </row>
    <row r="3" ht="36.75" customHeight="1">
      <c r="A3" s="147" t="s">
        <v>39</v>
      </c>
      <c r="B3" s="156"/>
      <c r="C3" s="105" t="str">
        <f>VLOOKUP(D3,[1]Saldo!A2:B31275,2,0)</f>
        <v>#ERROR!</v>
      </c>
      <c r="D3" s="156" t="s">
        <v>580</v>
      </c>
      <c r="E3" s="156" t="s">
        <v>581</v>
      </c>
      <c r="F3" s="189" t="str">
        <f t="shared" ref="F3:F13" si="1">'[1]PARAMETROS PREVENTIVA'!$D168</f>
        <v>#REF!</v>
      </c>
      <c r="G3" s="156" t="str">
        <f t="shared" ref="G3:G13" si="2">'[1]PARAMETROS PREVENTIVA'!$E168</f>
        <v>#REF!</v>
      </c>
      <c r="H3" s="190">
        <f>'PAINEL DE CONTROLE'!$J$5</f>
        <v>6544</v>
      </c>
      <c r="I3" s="190">
        <v>0.0</v>
      </c>
      <c r="J3" s="190" t="str">
        <f t="shared" ref="J3:J275" si="3">I3+G3</f>
        <v>#REF!</v>
      </c>
      <c r="K3" s="190" t="str">
        <f t="shared" ref="K3:K275" si="4">SUM(J3-H3)</f>
        <v>#REF!</v>
      </c>
      <c r="L3" s="60"/>
      <c r="M3" s="31"/>
      <c r="N3" s="61"/>
      <c r="O3" s="60"/>
      <c r="P3" s="31"/>
      <c r="Q3" s="61"/>
      <c r="R3" s="60"/>
      <c r="S3" s="31"/>
      <c r="T3" s="61"/>
      <c r="U3" s="60"/>
      <c r="V3" s="31"/>
      <c r="W3" s="61"/>
      <c r="X3" s="60"/>
      <c r="Y3" s="31"/>
      <c r="Z3" s="61"/>
      <c r="AA3" s="60"/>
      <c r="AB3" s="31"/>
      <c r="AC3" s="61"/>
      <c r="AD3" s="60"/>
      <c r="AE3" s="31"/>
      <c r="AF3" s="61"/>
      <c r="AG3" s="60"/>
      <c r="AH3" s="31"/>
      <c r="AI3" s="61"/>
      <c r="AJ3" s="60"/>
      <c r="AK3" s="31"/>
      <c r="AL3" s="61"/>
      <c r="AM3" s="60"/>
      <c r="AN3" s="31"/>
      <c r="AO3" s="61"/>
      <c r="AP3" s="60"/>
      <c r="AQ3" s="31"/>
      <c r="AR3" s="61"/>
      <c r="AS3" s="60"/>
      <c r="AT3" s="31"/>
      <c r="AU3" s="61"/>
    </row>
    <row r="4" ht="36.75" customHeight="1">
      <c r="A4" s="62"/>
      <c r="B4" s="156"/>
      <c r="C4" s="105" t="str">
        <f>VLOOKUP(D4,[1]Saldo!A3:B31276,2,0)</f>
        <v>#ERROR!</v>
      </c>
      <c r="D4" s="156" t="s">
        <v>582</v>
      </c>
      <c r="E4" s="156" t="s">
        <v>583</v>
      </c>
      <c r="F4" s="189" t="str">
        <f t="shared" si="1"/>
        <v>#REF!</v>
      </c>
      <c r="G4" s="156" t="str">
        <f t="shared" si="2"/>
        <v>#REF!</v>
      </c>
      <c r="H4" s="190">
        <f>'PAINEL DE CONTROLE'!$J$5</f>
        <v>6544</v>
      </c>
      <c r="I4" s="190">
        <v>0.0</v>
      </c>
      <c r="J4" s="190" t="str">
        <f t="shared" si="3"/>
        <v>#REF!</v>
      </c>
      <c r="K4" s="190" t="str">
        <f t="shared" si="4"/>
        <v>#REF!</v>
      </c>
      <c r="L4" s="60"/>
      <c r="M4" s="31"/>
      <c r="N4" s="61"/>
      <c r="O4" s="60"/>
      <c r="P4" s="31"/>
      <c r="Q4" s="61"/>
      <c r="R4" s="60"/>
      <c r="S4" s="31"/>
      <c r="T4" s="61"/>
      <c r="U4" s="60"/>
      <c r="V4" s="31"/>
      <c r="W4" s="61"/>
      <c r="X4" s="60"/>
      <c r="Y4" s="31"/>
      <c r="Z4" s="61"/>
      <c r="AA4" s="60"/>
      <c r="AB4" s="31"/>
      <c r="AC4" s="61"/>
      <c r="AD4" s="60"/>
      <c r="AE4" s="31"/>
      <c r="AF4" s="61"/>
      <c r="AG4" s="60"/>
      <c r="AH4" s="31"/>
      <c r="AI4" s="61"/>
      <c r="AJ4" s="60"/>
      <c r="AK4" s="31"/>
      <c r="AL4" s="61"/>
      <c r="AM4" s="60"/>
      <c r="AN4" s="31"/>
      <c r="AO4" s="61"/>
      <c r="AP4" s="60"/>
      <c r="AQ4" s="31"/>
      <c r="AR4" s="61"/>
      <c r="AS4" s="60"/>
      <c r="AT4" s="31"/>
      <c r="AU4" s="61"/>
    </row>
    <row r="5" ht="36.75" customHeight="1">
      <c r="A5" s="62"/>
      <c r="B5" s="156"/>
      <c r="C5" s="105" t="str">
        <f>VLOOKUP(D5,[1]Saldo!A4:B31277,2,0)</f>
        <v>#ERROR!</v>
      </c>
      <c r="D5" s="156" t="s">
        <v>584</v>
      </c>
      <c r="E5" s="156" t="s">
        <v>585</v>
      </c>
      <c r="F5" s="189" t="str">
        <f t="shared" si="1"/>
        <v>#REF!</v>
      </c>
      <c r="G5" s="156" t="str">
        <f t="shared" si="2"/>
        <v>#REF!</v>
      </c>
      <c r="H5" s="190">
        <f>'PAINEL DE CONTROLE'!$J$5</f>
        <v>6544</v>
      </c>
      <c r="I5" s="190">
        <v>0.0</v>
      </c>
      <c r="J5" s="190" t="str">
        <f t="shared" si="3"/>
        <v>#REF!</v>
      </c>
      <c r="K5" s="190" t="str">
        <f t="shared" si="4"/>
        <v>#REF!</v>
      </c>
      <c r="L5" s="60"/>
      <c r="M5" s="31"/>
      <c r="N5" s="61"/>
      <c r="O5" s="60"/>
      <c r="P5" s="31"/>
      <c r="Q5" s="61"/>
      <c r="R5" s="60"/>
      <c r="S5" s="31"/>
      <c r="T5" s="61"/>
      <c r="U5" s="60"/>
      <c r="V5" s="31"/>
      <c r="W5" s="61"/>
      <c r="X5" s="60"/>
      <c r="Y5" s="31"/>
      <c r="Z5" s="61"/>
      <c r="AA5" s="60"/>
      <c r="AB5" s="31"/>
      <c r="AC5" s="61"/>
      <c r="AD5" s="60"/>
      <c r="AE5" s="31"/>
      <c r="AF5" s="61"/>
      <c r="AG5" s="60"/>
      <c r="AH5" s="31"/>
      <c r="AI5" s="61"/>
      <c r="AJ5" s="60"/>
      <c r="AK5" s="31"/>
      <c r="AL5" s="61"/>
      <c r="AM5" s="60"/>
      <c r="AN5" s="31"/>
      <c r="AO5" s="61"/>
      <c r="AP5" s="60"/>
      <c r="AQ5" s="31"/>
      <c r="AR5" s="61"/>
      <c r="AS5" s="60"/>
      <c r="AT5" s="31"/>
      <c r="AU5" s="61"/>
    </row>
    <row r="6" ht="36.75" customHeight="1">
      <c r="A6" s="62"/>
      <c r="B6" s="156"/>
      <c r="C6" s="105" t="str">
        <f>VLOOKUP(D6,[1]Saldo!A5:B31278,2,0)</f>
        <v>#ERROR!</v>
      </c>
      <c r="D6" s="156" t="s">
        <v>586</v>
      </c>
      <c r="E6" s="156" t="s">
        <v>587</v>
      </c>
      <c r="F6" s="189" t="str">
        <f t="shared" si="1"/>
        <v>#REF!</v>
      </c>
      <c r="G6" s="156" t="str">
        <f t="shared" si="2"/>
        <v>#REF!</v>
      </c>
      <c r="H6" s="190">
        <f>'PAINEL DE CONTROLE'!$J$5</f>
        <v>6544</v>
      </c>
      <c r="I6" s="190">
        <v>0.0</v>
      </c>
      <c r="J6" s="190" t="str">
        <f t="shared" si="3"/>
        <v>#REF!</v>
      </c>
      <c r="K6" s="190" t="str">
        <f t="shared" si="4"/>
        <v>#REF!</v>
      </c>
      <c r="L6" s="60"/>
      <c r="M6" s="31"/>
      <c r="N6" s="61"/>
      <c r="O6" s="60"/>
      <c r="P6" s="31"/>
      <c r="Q6" s="61"/>
      <c r="R6" s="60"/>
      <c r="S6" s="31"/>
      <c r="T6" s="61"/>
      <c r="U6" s="60"/>
      <c r="V6" s="31"/>
      <c r="W6" s="61"/>
      <c r="X6" s="60"/>
      <c r="Y6" s="31"/>
      <c r="Z6" s="61"/>
      <c r="AA6" s="60"/>
      <c r="AB6" s="31"/>
      <c r="AC6" s="61"/>
      <c r="AD6" s="60"/>
      <c r="AE6" s="31"/>
      <c r="AF6" s="61"/>
      <c r="AG6" s="60"/>
      <c r="AH6" s="31"/>
      <c r="AI6" s="61"/>
      <c r="AJ6" s="60"/>
      <c r="AK6" s="31"/>
      <c r="AL6" s="61"/>
      <c r="AM6" s="60"/>
      <c r="AN6" s="31"/>
      <c r="AO6" s="61"/>
      <c r="AP6" s="60"/>
      <c r="AQ6" s="31"/>
      <c r="AR6" s="61"/>
      <c r="AS6" s="60"/>
      <c r="AT6" s="31"/>
      <c r="AU6" s="61"/>
    </row>
    <row r="7" ht="36.75" customHeight="1">
      <c r="A7" s="62"/>
      <c r="B7" s="156"/>
      <c r="C7" s="105" t="str">
        <f>VLOOKUP(D7,[1]Saldo!A6:B31279,2,0)</f>
        <v>#ERROR!</v>
      </c>
      <c r="D7" s="156" t="s">
        <v>588</v>
      </c>
      <c r="E7" s="156" t="s">
        <v>589</v>
      </c>
      <c r="F7" s="189" t="str">
        <f t="shared" si="1"/>
        <v>#REF!</v>
      </c>
      <c r="G7" s="156" t="str">
        <f t="shared" si="2"/>
        <v>#REF!</v>
      </c>
      <c r="H7" s="190">
        <f>'PAINEL DE CONTROLE'!$J$5</f>
        <v>6544</v>
      </c>
      <c r="I7" s="190">
        <v>0.0</v>
      </c>
      <c r="J7" s="190" t="str">
        <f t="shared" si="3"/>
        <v>#REF!</v>
      </c>
      <c r="K7" s="190" t="str">
        <f t="shared" si="4"/>
        <v>#REF!</v>
      </c>
      <c r="L7" s="60"/>
      <c r="M7" s="31"/>
      <c r="N7" s="61"/>
      <c r="O7" s="60"/>
      <c r="P7" s="31"/>
      <c r="Q7" s="61"/>
      <c r="R7" s="60"/>
      <c r="S7" s="31"/>
      <c r="T7" s="61"/>
      <c r="U7" s="60"/>
      <c r="V7" s="31"/>
      <c r="W7" s="61"/>
      <c r="X7" s="60"/>
      <c r="Y7" s="31"/>
      <c r="Z7" s="61"/>
      <c r="AA7" s="60"/>
      <c r="AB7" s="31"/>
      <c r="AC7" s="61"/>
      <c r="AD7" s="60"/>
      <c r="AE7" s="31"/>
      <c r="AF7" s="61"/>
      <c r="AG7" s="60"/>
      <c r="AH7" s="31"/>
      <c r="AI7" s="61"/>
      <c r="AJ7" s="60"/>
      <c r="AK7" s="31"/>
      <c r="AL7" s="61"/>
      <c r="AM7" s="60"/>
      <c r="AN7" s="31"/>
      <c r="AO7" s="61"/>
      <c r="AP7" s="60"/>
      <c r="AQ7" s="31"/>
      <c r="AR7" s="61"/>
      <c r="AS7" s="60"/>
      <c r="AT7" s="31"/>
      <c r="AU7" s="61"/>
    </row>
    <row r="8" ht="36.75" customHeight="1">
      <c r="A8" s="62"/>
      <c r="B8" s="156"/>
      <c r="C8" s="105" t="str">
        <f>VLOOKUP(D8,[1]Saldo!A7:B31280,2,0)</f>
        <v>#ERROR!</v>
      </c>
      <c r="D8" s="156" t="s">
        <v>590</v>
      </c>
      <c r="E8" s="156" t="s">
        <v>591</v>
      </c>
      <c r="F8" s="189" t="str">
        <f t="shared" si="1"/>
        <v>#REF!</v>
      </c>
      <c r="G8" s="156" t="str">
        <f t="shared" si="2"/>
        <v>#REF!</v>
      </c>
      <c r="H8" s="190">
        <f>'PAINEL DE CONTROLE'!$J$5</f>
        <v>6544</v>
      </c>
      <c r="I8" s="190">
        <v>0.0</v>
      </c>
      <c r="J8" s="190" t="str">
        <f t="shared" si="3"/>
        <v>#REF!</v>
      </c>
      <c r="K8" s="190" t="str">
        <f t="shared" si="4"/>
        <v>#REF!</v>
      </c>
      <c r="L8" s="60"/>
      <c r="M8" s="31"/>
      <c r="N8" s="61"/>
      <c r="O8" s="60"/>
      <c r="P8" s="31"/>
      <c r="Q8" s="61"/>
      <c r="R8" s="60"/>
      <c r="S8" s="31"/>
      <c r="T8" s="61"/>
      <c r="U8" s="60"/>
      <c r="V8" s="31"/>
      <c r="W8" s="61"/>
      <c r="X8" s="60"/>
      <c r="Y8" s="31"/>
      <c r="Z8" s="61"/>
      <c r="AA8" s="60"/>
      <c r="AB8" s="31"/>
      <c r="AC8" s="61"/>
      <c r="AD8" s="60"/>
      <c r="AE8" s="31"/>
      <c r="AF8" s="61"/>
      <c r="AG8" s="60"/>
      <c r="AH8" s="31"/>
      <c r="AI8" s="61"/>
      <c r="AJ8" s="60"/>
      <c r="AK8" s="31"/>
      <c r="AL8" s="61"/>
      <c r="AM8" s="60"/>
      <c r="AN8" s="31"/>
      <c r="AO8" s="61"/>
      <c r="AP8" s="60"/>
      <c r="AQ8" s="31"/>
      <c r="AR8" s="61"/>
      <c r="AS8" s="60"/>
      <c r="AT8" s="31"/>
      <c r="AU8" s="61"/>
    </row>
    <row r="9" ht="36.75" customHeight="1">
      <c r="A9" s="62"/>
      <c r="B9" s="156"/>
      <c r="C9" s="105" t="str">
        <f>VLOOKUP(D9,[1]Saldo!A8:B31281,2,0)</f>
        <v>#ERROR!</v>
      </c>
      <c r="D9" s="156" t="s">
        <v>592</v>
      </c>
      <c r="E9" s="156" t="s">
        <v>593</v>
      </c>
      <c r="F9" s="189" t="str">
        <f t="shared" si="1"/>
        <v>#REF!</v>
      </c>
      <c r="G9" s="156" t="str">
        <f t="shared" si="2"/>
        <v>#REF!</v>
      </c>
      <c r="H9" s="190">
        <f>'PAINEL DE CONTROLE'!$J$5</f>
        <v>6544</v>
      </c>
      <c r="I9" s="190">
        <v>0.0</v>
      </c>
      <c r="J9" s="190" t="str">
        <f t="shared" si="3"/>
        <v>#REF!</v>
      </c>
      <c r="K9" s="190" t="str">
        <f t="shared" si="4"/>
        <v>#REF!</v>
      </c>
      <c r="L9" s="60"/>
      <c r="M9" s="31"/>
      <c r="N9" s="61"/>
      <c r="O9" s="60"/>
      <c r="P9" s="31"/>
      <c r="Q9" s="61"/>
      <c r="R9" s="60"/>
      <c r="S9" s="31"/>
      <c r="T9" s="61"/>
      <c r="U9" s="60"/>
      <c r="V9" s="31"/>
      <c r="W9" s="61"/>
      <c r="X9" s="60"/>
      <c r="Y9" s="31"/>
      <c r="Z9" s="61"/>
      <c r="AA9" s="60"/>
      <c r="AB9" s="31"/>
      <c r="AC9" s="61"/>
      <c r="AD9" s="60"/>
      <c r="AE9" s="31"/>
      <c r="AF9" s="61"/>
      <c r="AG9" s="60"/>
      <c r="AH9" s="31"/>
      <c r="AI9" s="61"/>
      <c r="AJ9" s="60"/>
      <c r="AK9" s="31"/>
      <c r="AL9" s="61"/>
      <c r="AM9" s="60"/>
      <c r="AN9" s="31"/>
      <c r="AO9" s="61"/>
      <c r="AP9" s="60"/>
      <c r="AQ9" s="31"/>
      <c r="AR9" s="61"/>
      <c r="AS9" s="60"/>
      <c r="AT9" s="31"/>
      <c r="AU9" s="61"/>
    </row>
    <row r="10" ht="36.75" customHeight="1">
      <c r="A10" s="62"/>
      <c r="B10" s="156"/>
      <c r="C10" s="105" t="str">
        <f>VLOOKUP(D10,[1]Saldo!A9:B31282,2,0)</f>
        <v>#ERROR!</v>
      </c>
      <c r="D10" s="156" t="s">
        <v>594</v>
      </c>
      <c r="E10" s="156" t="s">
        <v>595</v>
      </c>
      <c r="F10" s="189" t="str">
        <f t="shared" si="1"/>
        <v>#REF!</v>
      </c>
      <c r="G10" s="156" t="str">
        <f t="shared" si="2"/>
        <v>#REF!</v>
      </c>
      <c r="H10" s="190">
        <f>'PAINEL DE CONTROLE'!$J$5</f>
        <v>6544</v>
      </c>
      <c r="I10" s="190">
        <v>0.0</v>
      </c>
      <c r="J10" s="190" t="str">
        <f t="shared" si="3"/>
        <v>#REF!</v>
      </c>
      <c r="K10" s="190" t="str">
        <f t="shared" si="4"/>
        <v>#REF!</v>
      </c>
      <c r="L10" s="60"/>
      <c r="M10" s="31"/>
      <c r="N10" s="61"/>
      <c r="O10" s="60"/>
      <c r="P10" s="31"/>
      <c r="Q10" s="61"/>
      <c r="R10" s="60"/>
      <c r="S10" s="31"/>
      <c r="T10" s="61"/>
      <c r="U10" s="60"/>
      <c r="V10" s="31"/>
      <c r="W10" s="61"/>
      <c r="X10" s="60"/>
      <c r="Y10" s="31"/>
      <c r="Z10" s="61"/>
      <c r="AA10" s="60"/>
      <c r="AB10" s="31"/>
      <c r="AC10" s="61"/>
      <c r="AD10" s="60"/>
      <c r="AE10" s="31"/>
      <c r="AF10" s="61"/>
      <c r="AG10" s="60"/>
      <c r="AH10" s="31"/>
      <c r="AI10" s="61"/>
      <c r="AJ10" s="60"/>
      <c r="AK10" s="31"/>
      <c r="AL10" s="61"/>
      <c r="AM10" s="60"/>
      <c r="AN10" s="31"/>
      <c r="AO10" s="61"/>
      <c r="AP10" s="60"/>
      <c r="AQ10" s="31"/>
      <c r="AR10" s="61"/>
      <c r="AS10" s="60"/>
      <c r="AT10" s="31"/>
      <c r="AU10" s="61"/>
    </row>
    <row r="11" ht="36.75" customHeight="1">
      <c r="A11" s="62"/>
      <c r="B11" s="156"/>
      <c r="C11" s="105" t="str">
        <f>VLOOKUP(D11,[1]Saldo!A10:B31283,2,0)</f>
        <v>#ERROR!</v>
      </c>
      <c r="D11" s="156" t="s">
        <v>596</v>
      </c>
      <c r="E11" s="156" t="s">
        <v>597</v>
      </c>
      <c r="F11" s="189" t="str">
        <f t="shared" si="1"/>
        <v>#REF!</v>
      </c>
      <c r="G11" s="156" t="str">
        <f t="shared" si="2"/>
        <v>#REF!</v>
      </c>
      <c r="H11" s="190">
        <f>'PAINEL DE CONTROLE'!$J$5</f>
        <v>6544</v>
      </c>
      <c r="I11" s="190">
        <v>0.0</v>
      </c>
      <c r="J11" s="190" t="str">
        <f t="shared" si="3"/>
        <v>#REF!</v>
      </c>
      <c r="K11" s="190" t="str">
        <f t="shared" si="4"/>
        <v>#REF!</v>
      </c>
      <c r="L11" s="60"/>
      <c r="M11" s="31"/>
      <c r="N11" s="61"/>
      <c r="O11" s="60"/>
      <c r="P11" s="31"/>
      <c r="Q11" s="61"/>
      <c r="R11" s="60"/>
      <c r="S11" s="31"/>
      <c r="T11" s="61"/>
      <c r="U11" s="60"/>
      <c r="V11" s="31"/>
      <c r="W11" s="61"/>
      <c r="X11" s="60"/>
      <c r="Y11" s="31"/>
      <c r="Z11" s="61"/>
      <c r="AA11" s="60"/>
      <c r="AB11" s="31"/>
      <c r="AC11" s="61"/>
      <c r="AD11" s="60"/>
      <c r="AE11" s="31"/>
      <c r="AF11" s="61"/>
      <c r="AG11" s="60"/>
      <c r="AH11" s="31"/>
      <c r="AI11" s="61"/>
      <c r="AJ11" s="60"/>
      <c r="AK11" s="31"/>
      <c r="AL11" s="61"/>
      <c r="AM11" s="60"/>
      <c r="AN11" s="31"/>
      <c r="AO11" s="61"/>
      <c r="AP11" s="60"/>
      <c r="AQ11" s="31"/>
      <c r="AR11" s="61"/>
      <c r="AS11" s="60"/>
      <c r="AT11" s="31"/>
      <c r="AU11" s="61"/>
    </row>
    <row r="12" ht="36.75" customHeight="1">
      <c r="A12" s="62"/>
      <c r="B12" s="156"/>
      <c r="C12" s="105" t="str">
        <f>VLOOKUP(D12,[1]Saldo!A11:B31284,2,0)</f>
        <v>#ERROR!</v>
      </c>
      <c r="D12" s="156" t="s">
        <v>598</v>
      </c>
      <c r="E12" s="156" t="s">
        <v>599</v>
      </c>
      <c r="F12" s="189" t="str">
        <f t="shared" si="1"/>
        <v>#REF!</v>
      </c>
      <c r="G12" s="156" t="str">
        <f t="shared" si="2"/>
        <v>#REF!</v>
      </c>
      <c r="H12" s="190">
        <f>'PAINEL DE CONTROLE'!$J$5</f>
        <v>6544</v>
      </c>
      <c r="I12" s="190">
        <v>0.0</v>
      </c>
      <c r="J12" s="190" t="str">
        <f t="shared" si="3"/>
        <v>#REF!</v>
      </c>
      <c r="K12" s="190" t="str">
        <f t="shared" si="4"/>
        <v>#REF!</v>
      </c>
      <c r="L12" s="60"/>
      <c r="M12" s="31"/>
      <c r="N12" s="61"/>
      <c r="O12" s="60"/>
      <c r="P12" s="31"/>
      <c r="Q12" s="61"/>
      <c r="R12" s="60"/>
      <c r="S12" s="31"/>
      <c r="T12" s="61"/>
      <c r="U12" s="60"/>
      <c r="V12" s="31"/>
      <c r="W12" s="61"/>
      <c r="X12" s="60"/>
      <c r="Y12" s="31"/>
      <c r="Z12" s="61"/>
      <c r="AA12" s="60"/>
      <c r="AB12" s="31"/>
      <c r="AC12" s="61"/>
      <c r="AD12" s="60"/>
      <c r="AE12" s="31"/>
      <c r="AF12" s="61"/>
      <c r="AG12" s="60"/>
      <c r="AH12" s="31"/>
      <c r="AI12" s="61"/>
      <c r="AJ12" s="60"/>
      <c r="AK12" s="31"/>
      <c r="AL12" s="61"/>
      <c r="AM12" s="60"/>
      <c r="AN12" s="31"/>
      <c r="AO12" s="61"/>
      <c r="AP12" s="60"/>
      <c r="AQ12" s="31"/>
      <c r="AR12" s="61"/>
      <c r="AS12" s="60"/>
      <c r="AT12" s="31"/>
      <c r="AU12" s="61"/>
    </row>
    <row r="13" ht="36.75" customHeight="1">
      <c r="A13" s="63"/>
      <c r="B13" s="156"/>
      <c r="C13" s="105" t="str">
        <f>VLOOKUP(D13,[1]Saldo!A12:B31285,2,0)</f>
        <v>#ERROR!</v>
      </c>
      <c r="D13" s="156" t="s">
        <v>600</v>
      </c>
      <c r="E13" s="156" t="s">
        <v>601</v>
      </c>
      <c r="F13" s="189" t="str">
        <f t="shared" si="1"/>
        <v>#REF!</v>
      </c>
      <c r="G13" s="191" t="str">
        <f t="shared" si="2"/>
        <v>#REF!</v>
      </c>
      <c r="H13" s="190">
        <f>'PAINEL DE CONTROLE'!$J$5</f>
        <v>6544</v>
      </c>
      <c r="I13" s="190">
        <v>0.0</v>
      </c>
      <c r="J13" s="190" t="str">
        <f t="shared" si="3"/>
        <v>#REF!</v>
      </c>
      <c r="K13" s="190" t="str">
        <f t="shared" si="4"/>
        <v>#REF!</v>
      </c>
      <c r="L13" s="60"/>
      <c r="M13" s="31"/>
      <c r="N13" s="61"/>
      <c r="O13" s="60"/>
      <c r="P13" s="31"/>
      <c r="Q13" s="61"/>
      <c r="R13" s="60"/>
      <c r="S13" s="31"/>
      <c r="T13" s="61"/>
      <c r="U13" s="60"/>
      <c r="V13" s="31"/>
      <c r="W13" s="61"/>
      <c r="X13" s="60"/>
      <c r="Y13" s="31"/>
      <c r="Z13" s="61"/>
      <c r="AA13" s="60"/>
      <c r="AB13" s="31"/>
      <c r="AC13" s="61"/>
      <c r="AD13" s="60"/>
      <c r="AE13" s="31"/>
      <c r="AF13" s="61"/>
      <c r="AG13" s="60"/>
      <c r="AH13" s="31"/>
      <c r="AI13" s="61"/>
      <c r="AJ13" s="60"/>
      <c r="AK13" s="31"/>
      <c r="AL13" s="61"/>
      <c r="AM13" s="60"/>
      <c r="AN13" s="31"/>
      <c r="AO13" s="61"/>
      <c r="AP13" s="60"/>
      <c r="AQ13" s="31"/>
      <c r="AR13" s="61"/>
      <c r="AS13" s="60"/>
      <c r="AT13" s="31"/>
      <c r="AU13" s="61"/>
    </row>
    <row r="14" ht="36.75" customHeight="1">
      <c r="A14" s="147" t="s">
        <v>40</v>
      </c>
      <c r="B14" s="156"/>
      <c r="C14" s="105" t="str">
        <f>VLOOKUP(D14,[1]Saldo!A13:B31286,2,0)</f>
        <v>#ERROR!</v>
      </c>
      <c r="D14" s="156" t="s">
        <v>602</v>
      </c>
      <c r="E14" s="156" t="s">
        <v>603</v>
      </c>
      <c r="F14" s="189">
        <v>7.0</v>
      </c>
      <c r="G14" s="191">
        <v>2000.0</v>
      </c>
      <c r="H14" s="190">
        <f>'PAINEL DE CONTROLE'!$J$5</f>
        <v>6544</v>
      </c>
      <c r="I14" s="190">
        <v>0.0</v>
      </c>
      <c r="J14" s="190">
        <f t="shared" si="3"/>
        <v>2000</v>
      </c>
      <c r="K14" s="190">
        <f t="shared" si="4"/>
        <v>-4544</v>
      </c>
      <c r="L14" s="60"/>
      <c r="M14" s="31"/>
      <c r="N14" s="61"/>
      <c r="O14" s="60"/>
      <c r="P14" s="31"/>
      <c r="Q14" s="61"/>
      <c r="R14" s="60"/>
      <c r="S14" s="31"/>
      <c r="T14" s="61"/>
      <c r="U14" s="60"/>
      <c r="V14" s="31"/>
      <c r="W14" s="61"/>
      <c r="X14" s="60"/>
      <c r="Y14" s="31"/>
      <c r="Z14" s="61"/>
      <c r="AA14" s="60"/>
      <c r="AB14" s="31"/>
      <c r="AC14" s="61"/>
      <c r="AD14" s="60"/>
      <c r="AE14" s="31"/>
      <c r="AF14" s="61"/>
      <c r="AG14" s="60"/>
      <c r="AH14" s="31"/>
      <c r="AI14" s="61"/>
      <c r="AJ14" s="60"/>
      <c r="AK14" s="31"/>
      <c r="AL14" s="61"/>
      <c r="AM14" s="60"/>
      <c r="AN14" s="31"/>
      <c r="AO14" s="61"/>
      <c r="AP14" s="60"/>
      <c r="AQ14" s="31"/>
      <c r="AR14" s="61"/>
      <c r="AS14" s="60"/>
      <c r="AT14" s="31"/>
      <c r="AU14" s="61"/>
    </row>
    <row r="15" ht="36.75" customHeight="1">
      <c r="A15" s="62"/>
      <c r="B15" s="156"/>
      <c r="C15" s="105" t="str">
        <f>VLOOKUP(D15,[1]Saldo!A14:B31287,2,0)</f>
        <v>#ERROR!</v>
      </c>
      <c r="D15" s="156" t="s">
        <v>604</v>
      </c>
      <c r="E15" s="156" t="s">
        <v>605</v>
      </c>
      <c r="F15" s="189">
        <v>7.0</v>
      </c>
      <c r="G15" s="191">
        <v>2000.0</v>
      </c>
      <c r="H15" s="190">
        <f>'PAINEL DE CONTROLE'!$J$5</f>
        <v>6544</v>
      </c>
      <c r="I15" s="190">
        <v>0.0</v>
      </c>
      <c r="J15" s="190">
        <f t="shared" si="3"/>
        <v>2000</v>
      </c>
      <c r="K15" s="190">
        <f t="shared" si="4"/>
        <v>-4544</v>
      </c>
      <c r="L15" s="60"/>
      <c r="M15" s="31"/>
      <c r="N15" s="61"/>
      <c r="O15" s="60"/>
      <c r="P15" s="31"/>
      <c r="Q15" s="61"/>
      <c r="R15" s="60"/>
      <c r="S15" s="31"/>
      <c r="T15" s="61"/>
      <c r="U15" s="60"/>
      <c r="V15" s="31"/>
      <c r="W15" s="61"/>
      <c r="X15" s="60"/>
      <c r="Y15" s="31"/>
      <c r="Z15" s="61"/>
      <c r="AA15" s="60"/>
      <c r="AB15" s="31"/>
      <c r="AC15" s="61"/>
      <c r="AD15" s="60"/>
      <c r="AE15" s="31"/>
      <c r="AF15" s="61"/>
      <c r="AG15" s="60"/>
      <c r="AH15" s="31"/>
      <c r="AI15" s="61"/>
      <c r="AJ15" s="60"/>
      <c r="AK15" s="31"/>
      <c r="AL15" s="61"/>
      <c r="AM15" s="60"/>
      <c r="AN15" s="31"/>
      <c r="AO15" s="61"/>
      <c r="AP15" s="60"/>
      <c r="AQ15" s="31"/>
      <c r="AR15" s="61"/>
      <c r="AS15" s="60"/>
      <c r="AT15" s="31"/>
      <c r="AU15" s="61"/>
    </row>
    <row r="16" ht="36.75" customHeight="1">
      <c r="A16" s="62"/>
      <c r="B16" s="156"/>
      <c r="C16" s="105" t="str">
        <f>VLOOKUP(D16,[1]Saldo!A15:B31288,2,0)</f>
        <v>#ERROR!</v>
      </c>
      <c r="D16" s="156" t="s">
        <v>606</v>
      </c>
      <c r="E16" s="156" t="s">
        <v>607</v>
      </c>
      <c r="F16" s="189">
        <v>1.0</v>
      </c>
      <c r="G16" s="191">
        <v>3000.0</v>
      </c>
      <c r="H16" s="190">
        <f>'PAINEL DE CONTROLE'!$J$5</f>
        <v>6544</v>
      </c>
      <c r="I16" s="190">
        <v>0.0</v>
      </c>
      <c r="J16" s="190">
        <f t="shared" si="3"/>
        <v>3000</v>
      </c>
      <c r="K16" s="190">
        <f t="shared" si="4"/>
        <v>-3544</v>
      </c>
      <c r="L16" s="60"/>
      <c r="M16" s="31"/>
      <c r="N16" s="61"/>
      <c r="O16" s="60"/>
      <c r="P16" s="31"/>
      <c r="Q16" s="61"/>
      <c r="R16" s="60"/>
      <c r="S16" s="31"/>
      <c r="T16" s="61"/>
      <c r="U16" s="60"/>
      <c r="V16" s="31"/>
      <c r="W16" s="61"/>
      <c r="X16" s="60"/>
      <c r="Y16" s="31"/>
      <c r="Z16" s="61"/>
      <c r="AA16" s="60"/>
      <c r="AB16" s="31"/>
      <c r="AC16" s="61"/>
      <c r="AD16" s="60"/>
      <c r="AE16" s="31"/>
      <c r="AF16" s="61"/>
      <c r="AG16" s="60"/>
      <c r="AH16" s="31"/>
      <c r="AI16" s="61"/>
      <c r="AJ16" s="60"/>
      <c r="AK16" s="31"/>
      <c r="AL16" s="61"/>
      <c r="AM16" s="60"/>
      <c r="AN16" s="31"/>
      <c r="AO16" s="61"/>
      <c r="AP16" s="60"/>
      <c r="AQ16" s="31"/>
      <c r="AR16" s="61"/>
      <c r="AS16" s="60"/>
      <c r="AT16" s="31"/>
      <c r="AU16" s="61"/>
    </row>
    <row r="17" ht="36.75" customHeight="1">
      <c r="A17" s="62"/>
      <c r="B17" s="156"/>
      <c r="C17" s="105" t="str">
        <f>VLOOKUP(D17,[1]Saldo!A16:B31289,2,0)</f>
        <v>#ERROR!</v>
      </c>
      <c r="D17" s="156" t="s">
        <v>608</v>
      </c>
      <c r="E17" s="156" t="s">
        <v>609</v>
      </c>
      <c r="F17" s="189">
        <v>1.0</v>
      </c>
      <c r="G17" s="191">
        <v>3000.0</v>
      </c>
      <c r="H17" s="190">
        <f>'PAINEL DE CONTROLE'!$J$5</f>
        <v>6544</v>
      </c>
      <c r="I17" s="190">
        <v>0.0</v>
      </c>
      <c r="J17" s="190">
        <f t="shared" si="3"/>
        <v>3000</v>
      </c>
      <c r="K17" s="190">
        <f t="shared" si="4"/>
        <v>-3544</v>
      </c>
      <c r="L17" s="60"/>
      <c r="M17" s="31"/>
      <c r="N17" s="61"/>
      <c r="O17" s="60"/>
      <c r="P17" s="31"/>
      <c r="Q17" s="61"/>
      <c r="R17" s="60"/>
      <c r="S17" s="31"/>
      <c r="T17" s="61"/>
      <c r="U17" s="60"/>
      <c r="V17" s="31"/>
      <c r="W17" s="61"/>
      <c r="X17" s="60"/>
      <c r="Y17" s="31"/>
      <c r="Z17" s="61"/>
      <c r="AA17" s="60"/>
      <c r="AB17" s="31"/>
      <c r="AC17" s="61"/>
      <c r="AD17" s="60"/>
      <c r="AE17" s="31"/>
      <c r="AF17" s="61"/>
      <c r="AG17" s="60"/>
      <c r="AH17" s="31"/>
      <c r="AI17" s="61"/>
      <c r="AJ17" s="60"/>
      <c r="AK17" s="31"/>
      <c r="AL17" s="61"/>
      <c r="AM17" s="60"/>
      <c r="AN17" s="31"/>
      <c r="AO17" s="61"/>
      <c r="AP17" s="60"/>
      <c r="AQ17" s="31"/>
      <c r="AR17" s="61"/>
      <c r="AS17" s="60"/>
      <c r="AT17" s="31"/>
      <c r="AU17" s="61"/>
    </row>
    <row r="18" ht="36.75" customHeight="1">
      <c r="A18" s="62"/>
      <c r="B18" s="156"/>
      <c r="C18" s="105" t="str">
        <f>VLOOKUP(D18,[1]Saldo!A17:B31290,2,0)</f>
        <v>#ERROR!</v>
      </c>
      <c r="D18" s="156" t="s">
        <v>610</v>
      </c>
      <c r="E18" s="156" t="s">
        <v>603</v>
      </c>
      <c r="F18" s="189">
        <v>1.0</v>
      </c>
      <c r="G18" s="191">
        <v>3000.0</v>
      </c>
      <c r="H18" s="190">
        <f>'PAINEL DE CONTROLE'!$J$5</f>
        <v>6544</v>
      </c>
      <c r="I18" s="190">
        <v>0.0</v>
      </c>
      <c r="J18" s="190">
        <f t="shared" si="3"/>
        <v>3000</v>
      </c>
      <c r="K18" s="190">
        <f t="shared" si="4"/>
        <v>-3544</v>
      </c>
      <c r="L18" s="60"/>
      <c r="M18" s="31"/>
      <c r="N18" s="61"/>
      <c r="O18" s="60"/>
      <c r="P18" s="31"/>
      <c r="Q18" s="61"/>
      <c r="R18" s="60"/>
      <c r="S18" s="31"/>
      <c r="T18" s="61"/>
      <c r="U18" s="60"/>
      <c r="V18" s="31"/>
      <c r="W18" s="61"/>
      <c r="X18" s="60"/>
      <c r="Y18" s="31"/>
      <c r="Z18" s="61"/>
      <c r="AA18" s="60"/>
      <c r="AB18" s="31"/>
      <c r="AC18" s="61"/>
      <c r="AD18" s="60"/>
      <c r="AE18" s="31"/>
      <c r="AF18" s="61"/>
      <c r="AG18" s="60"/>
      <c r="AH18" s="31"/>
      <c r="AI18" s="61"/>
      <c r="AJ18" s="60"/>
      <c r="AK18" s="31"/>
      <c r="AL18" s="61"/>
      <c r="AM18" s="60"/>
      <c r="AN18" s="31"/>
      <c r="AO18" s="61"/>
      <c r="AP18" s="60"/>
      <c r="AQ18" s="31"/>
      <c r="AR18" s="61"/>
      <c r="AS18" s="60"/>
      <c r="AT18" s="31"/>
      <c r="AU18" s="61"/>
    </row>
    <row r="19" ht="36.75" customHeight="1">
      <c r="A19" s="62"/>
      <c r="B19" s="156"/>
      <c r="C19" s="105" t="str">
        <f>VLOOKUP(D19,[1]Saldo!A18:B31291,2,0)</f>
        <v>#ERROR!</v>
      </c>
      <c r="D19" s="156" t="s">
        <v>611</v>
      </c>
      <c r="E19" s="156" t="s">
        <v>612</v>
      </c>
      <c r="F19" s="189">
        <v>1.0</v>
      </c>
      <c r="G19" s="191">
        <v>3000.0</v>
      </c>
      <c r="H19" s="190">
        <f>'PAINEL DE CONTROLE'!$J$5</f>
        <v>6544</v>
      </c>
      <c r="I19" s="190">
        <v>0.0</v>
      </c>
      <c r="J19" s="190">
        <f t="shared" si="3"/>
        <v>3000</v>
      </c>
      <c r="K19" s="190">
        <f t="shared" si="4"/>
        <v>-3544</v>
      </c>
      <c r="L19" s="60"/>
      <c r="M19" s="31"/>
      <c r="N19" s="61"/>
      <c r="O19" s="60"/>
      <c r="P19" s="31"/>
      <c r="Q19" s="61"/>
      <c r="R19" s="60"/>
      <c r="S19" s="31"/>
      <c r="T19" s="61"/>
      <c r="U19" s="60"/>
      <c r="V19" s="31"/>
      <c r="W19" s="61"/>
      <c r="X19" s="60"/>
      <c r="Y19" s="31"/>
      <c r="Z19" s="61"/>
      <c r="AA19" s="60"/>
      <c r="AB19" s="31"/>
      <c r="AC19" s="61"/>
      <c r="AD19" s="60"/>
      <c r="AE19" s="31"/>
      <c r="AF19" s="61"/>
      <c r="AG19" s="60"/>
      <c r="AH19" s="31"/>
      <c r="AI19" s="61"/>
      <c r="AJ19" s="60"/>
      <c r="AK19" s="31"/>
      <c r="AL19" s="61"/>
      <c r="AM19" s="60"/>
      <c r="AN19" s="31"/>
      <c r="AO19" s="61"/>
      <c r="AP19" s="60"/>
      <c r="AQ19" s="31"/>
      <c r="AR19" s="61"/>
      <c r="AS19" s="60"/>
      <c r="AT19" s="31"/>
      <c r="AU19" s="61"/>
    </row>
    <row r="20" ht="36.75" customHeight="1">
      <c r="A20" s="62"/>
      <c r="B20" s="156"/>
      <c r="C20" s="105" t="str">
        <f>VLOOKUP(D20,[1]Saldo!A19:B31292,2,0)</f>
        <v>#ERROR!</v>
      </c>
      <c r="D20" s="156" t="s">
        <v>613</v>
      </c>
      <c r="E20" s="156" t="s">
        <v>614</v>
      </c>
      <c r="F20" s="189">
        <v>2.0</v>
      </c>
      <c r="G20" s="191">
        <v>3000.0</v>
      </c>
      <c r="H20" s="190">
        <f>'PAINEL DE CONTROLE'!$J$5</f>
        <v>6544</v>
      </c>
      <c r="I20" s="190">
        <v>0.0</v>
      </c>
      <c r="J20" s="190">
        <f t="shared" si="3"/>
        <v>3000</v>
      </c>
      <c r="K20" s="190">
        <f t="shared" si="4"/>
        <v>-3544</v>
      </c>
      <c r="L20" s="60"/>
      <c r="M20" s="31"/>
      <c r="N20" s="61"/>
      <c r="O20" s="60"/>
      <c r="P20" s="31"/>
      <c r="Q20" s="61"/>
      <c r="R20" s="60"/>
      <c r="S20" s="31"/>
      <c r="T20" s="61"/>
      <c r="U20" s="60"/>
      <c r="V20" s="31"/>
      <c r="W20" s="61"/>
      <c r="X20" s="60"/>
      <c r="Y20" s="31"/>
      <c r="Z20" s="61"/>
      <c r="AA20" s="60"/>
      <c r="AB20" s="31"/>
      <c r="AC20" s="61"/>
      <c r="AD20" s="60"/>
      <c r="AE20" s="31"/>
      <c r="AF20" s="61"/>
      <c r="AG20" s="60"/>
      <c r="AH20" s="31"/>
      <c r="AI20" s="61"/>
      <c r="AJ20" s="60"/>
      <c r="AK20" s="31"/>
      <c r="AL20" s="61"/>
      <c r="AM20" s="60"/>
      <c r="AN20" s="31"/>
      <c r="AO20" s="61"/>
      <c r="AP20" s="60"/>
      <c r="AQ20" s="31"/>
      <c r="AR20" s="61"/>
      <c r="AS20" s="60"/>
      <c r="AT20" s="31"/>
      <c r="AU20" s="61"/>
    </row>
    <row r="21" ht="36.75" customHeight="1">
      <c r="A21" s="62"/>
      <c r="B21" s="156"/>
      <c r="C21" s="105" t="str">
        <f>VLOOKUP(D21,[1]Saldo!A20:B31293,2,0)</f>
        <v>#ERROR!</v>
      </c>
      <c r="D21" s="156" t="s">
        <v>615</v>
      </c>
      <c r="E21" s="156" t="s">
        <v>595</v>
      </c>
      <c r="F21" s="189">
        <v>2.0</v>
      </c>
      <c r="G21" s="191">
        <v>3000.0</v>
      </c>
      <c r="H21" s="190">
        <f>'PAINEL DE CONTROLE'!$J$5</f>
        <v>6544</v>
      </c>
      <c r="I21" s="190">
        <v>0.0</v>
      </c>
      <c r="J21" s="190">
        <f t="shared" si="3"/>
        <v>3000</v>
      </c>
      <c r="K21" s="190">
        <f t="shared" si="4"/>
        <v>-3544</v>
      </c>
      <c r="L21" s="60"/>
      <c r="M21" s="31"/>
      <c r="N21" s="61"/>
      <c r="O21" s="60"/>
      <c r="P21" s="31"/>
      <c r="Q21" s="61"/>
      <c r="R21" s="60"/>
      <c r="S21" s="31"/>
      <c r="T21" s="61"/>
      <c r="U21" s="60"/>
      <c r="V21" s="31"/>
      <c r="W21" s="61"/>
      <c r="X21" s="60"/>
      <c r="Y21" s="31"/>
      <c r="Z21" s="61"/>
      <c r="AA21" s="60"/>
      <c r="AB21" s="31"/>
      <c r="AC21" s="61"/>
      <c r="AD21" s="60"/>
      <c r="AE21" s="31"/>
      <c r="AF21" s="61"/>
      <c r="AG21" s="60"/>
      <c r="AH21" s="31"/>
      <c r="AI21" s="61"/>
      <c r="AJ21" s="60"/>
      <c r="AK21" s="31"/>
      <c r="AL21" s="61"/>
      <c r="AM21" s="60"/>
      <c r="AN21" s="31"/>
      <c r="AO21" s="61"/>
      <c r="AP21" s="60"/>
      <c r="AQ21" s="31"/>
      <c r="AR21" s="61"/>
      <c r="AS21" s="60"/>
      <c r="AT21" s="31"/>
      <c r="AU21" s="61"/>
    </row>
    <row r="22" ht="36.75" customHeight="1">
      <c r="A22" s="62"/>
      <c r="B22" s="156"/>
      <c r="C22" s="105" t="str">
        <f>VLOOKUP(D22,[1]Saldo!A21:B31294,2,0)</f>
        <v>#ERROR!</v>
      </c>
      <c r="D22" s="156" t="s">
        <v>616</v>
      </c>
      <c r="E22" s="156" t="s">
        <v>614</v>
      </c>
      <c r="F22" s="189">
        <v>8.0</v>
      </c>
      <c r="G22" s="191">
        <v>3000.0</v>
      </c>
      <c r="H22" s="190">
        <f>'PAINEL DE CONTROLE'!$J$5</f>
        <v>6544</v>
      </c>
      <c r="I22" s="190">
        <v>0.0</v>
      </c>
      <c r="J22" s="190">
        <f t="shared" si="3"/>
        <v>3000</v>
      </c>
      <c r="K22" s="190">
        <f t="shared" si="4"/>
        <v>-3544</v>
      </c>
      <c r="L22" s="60"/>
      <c r="M22" s="31"/>
      <c r="N22" s="61"/>
      <c r="O22" s="60"/>
      <c r="P22" s="31"/>
      <c r="Q22" s="61"/>
      <c r="R22" s="60"/>
      <c r="S22" s="31"/>
      <c r="T22" s="61"/>
      <c r="U22" s="60"/>
      <c r="V22" s="31"/>
      <c r="W22" s="61"/>
      <c r="X22" s="60"/>
      <c r="Y22" s="31"/>
      <c r="Z22" s="61"/>
      <c r="AA22" s="60"/>
      <c r="AB22" s="31"/>
      <c r="AC22" s="61"/>
      <c r="AD22" s="60"/>
      <c r="AE22" s="31"/>
      <c r="AF22" s="61"/>
      <c r="AG22" s="60"/>
      <c r="AH22" s="31"/>
      <c r="AI22" s="61"/>
      <c r="AJ22" s="60"/>
      <c r="AK22" s="31"/>
      <c r="AL22" s="61"/>
      <c r="AM22" s="60"/>
      <c r="AN22" s="31"/>
      <c r="AO22" s="61"/>
      <c r="AP22" s="60"/>
      <c r="AQ22" s="31"/>
      <c r="AR22" s="61"/>
      <c r="AS22" s="60"/>
      <c r="AT22" s="31"/>
      <c r="AU22" s="61"/>
    </row>
    <row r="23" ht="36.75" customHeight="1">
      <c r="A23" s="62"/>
      <c r="B23" s="156"/>
      <c r="C23" s="105" t="str">
        <f>VLOOKUP(D23,[1]Saldo!A22:B31295,2,0)</f>
        <v>#ERROR!</v>
      </c>
      <c r="D23" s="156" t="s">
        <v>617</v>
      </c>
      <c r="E23" s="156" t="s">
        <v>618</v>
      </c>
      <c r="F23" s="189">
        <v>4.0</v>
      </c>
      <c r="G23" s="191">
        <v>3000.0</v>
      </c>
      <c r="H23" s="190">
        <f>'PAINEL DE CONTROLE'!$J$5</f>
        <v>6544</v>
      </c>
      <c r="I23" s="190">
        <v>0.0</v>
      </c>
      <c r="J23" s="190">
        <f t="shared" si="3"/>
        <v>3000</v>
      </c>
      <c r="K23" s="190">
        <f t="shared" si="4"/>
        <v>-3544</v>
      </c>
      <c r="L23" s="60"/>
      <c r="M23" s="31"/>
      <c r="N23" s="61"/>
      <c r="O23" s="60"/>
      <c r="P23" s="31"/>
      <c r="Q23" s="61"/>
      <c r="R23" s="60"/>
      <c r="S23" s="31"/>
      <c r="T23" s="61"/>
      <c r="U23" s="60"/>
      <c r="V23" s="31"/>
      <c r="W23" s="61"/>
      <c r="X23" s="60"/>
      <c r="Y23" s="31"/>
      <c r="Z23" s="61"/>
      <c r="AA23" s="60"/>
      <c r="AB23" s="31"/>
      <c r="AC23" s="61"/>
      <c r="AD23" s="60"/>
      <c r="AE23" s="31"/>
      <c r="AF23" s="61"/>
      <c r="AG23" s="60"/>
      <c r="AH23" s="31"/>
      <c r="AI23" s="61"/>
      <c r="AJ23" s="60"/>
      <c r="AK23" s="31"/>
      <c r="AL23" s="61"/>
      <c r="AM23" s="60"/>
      <c r="AN23" s="31"/>
      <c r="AO23" s="61"/>
      <c r="AP23" s="60"/>
      <c r="AQ23" s="31"/>
      <c r="AR23" s="61"/>
      <c r="AS23" s="60"/>
      <c r="AT23" s="31"/>
      <c r="AU23" s="61"/>
    </row>
    <row r="24" ht="36.75" customHeight="1">
      <c r="A24" s="62"/>
      <c r="B24" s="156"/>
      <c r="C24" s="105" t="str">
        <f>VLOOKUP(D24,[1]Saldo!A23:B31296,2,0)</f>
        <v>#ERROR!</v>
      </c>
      <c r="D24" s="156" t="s">
        <v>619</v>
      </c>
      <c r="E24" s="156" t="s">
        <v>620</v>
      </c>
      <c r="F24" s="189">
        <v>4.0</v>
      </c>
      <c r="G24" s="191">
        <v>3000.0</v>
      </c>
      <c r="H24" s="190">
        <f>'PAINEL DE CONTROLE'!$J$5</f>
        <v>6544</v>
      </c>
      <c r="I24" s="190">
        <v>0.0</v>
      </c>
      <c r="J24" s="190">
        <f t="shared" si="3"/>
        <v>3000</v>
      </c>
      <c r="K24" s="190">
        <f t="shared" si="4"/>
        <v>-3544</v>
      </c>
      <c r="L24" s="60"/>
      <c r="M24" s="31"/>
      <c r="N24" s="61"/>
      <c r="O24" s="60"/>
      <c r="P24" s="31"/>
      <c r="Q24" s="61"/>
      <c r="R24" s="60"/>
      <c r="S24" s="31"/>
      <c r="T24" s="61"/>
      <c r="U24" s="60"/>
      <c r="V24" s="31"/>
      <c r="W24" s="61"/>
      <c r="X24" s="60"/>
      <c r="Y24" s="31"/>
      <c r="Z24" s="61"/>
      <c r="AA24" s="60"/>
      <c r="AB24" s="31"/>
      <c r="AC24" s="61"/>
      <c r="AD24" s="60"/>
      <c r="AE24" s="31"/>
      <c r="AF24" s="61"/>
      <c r="AG24" s="60"/>
      <c r="AH24" s="31"/>
      <c r="AI24" s="61"/>
      <c r="AJ24" s="60"/>
      <c r="AK24" s="31"/>
      <c r="AL24" s="61"/>
      <c r="AM24" s="60"/>
      <c r="AN24" s="31"/>
      <c r="AO24" s="61"/>
      <c r="AP24" s="60"/>
      <c r="AQ24" s="31"/>
      <c r="AR24" s="61"/>
      <c r="AS24" s="60"/>
      <c r="AT24" s="31"/>
      <c r="AU24" s="61"/>
    </row>
    <row r="25" ht="36.75" customHeight="1">
      <c r="A25" s="63"/>
      <c r="B25" s="156"/>
      <c r="C25" s="105" t="str">
        <f>VLOOKUP(D25,[1]Saldo!A24:B31297,2,0)</f>
        <v>#ERROR!</v>
      </c>
      <c r="D25" s="156" t="s">
        <v>621</v>
      </c>
      <c r="E25" s="156" t="s">
        <v>622</v>
      </c>
      <c r="F25" s="189">
        <v>4.0</v>
      </c>
      <c r="G25" s="191">
        <v>3000.0</v>
      </c>
      <c r="H25" s="190">
        <f>'PAINEL DE CONTROLE'!$J$5</f>
        <v>6544</v>
      </c>
      <c r="I25" s="190">
        <v>0.0</v>
      </c>
      <c r="J25" s="190">
        <f t="shared" si="3"/>
        <v>3000</v>
      </c>
      <c r="K25" s="190">
        <f t="shared" si="4"/>
        <v>-3544</v>
      </c>
      <c r="L25" s="60"/>
      <c r="M25" s="31"/>
      <c r="N25" s="61"/>
      <c r="O25" s="60"/>
      <c r="P25" s="31"/>
      <c r="Q25" s="61"/>
      <c r="R25" s="60"/>
      <c r="S25" s="31"/>
      <c r="T25" s="61"/>
      <c r="U25" s="60"/>
      <c r="V25" s="31"/>
      <c r="W25" s="61"/>
      <c r="X25" s="60"/>
      <c r="Y25" s="31"/>
      <c r="Z25" s="61"/>
      <c r="AA25" s="60"/>
      <c r="AB25" s="31"/>
      <c r="AC25" s="61"/>
      <c r="AD25" s="60"/>
      <c r="AE25" s="31"/>
      <c r="AF25" s="61"/>
      <c r="AG25" s="60"/>
      <c r="AH25" s="31"/>
      <c r="AI25" s="61"/>
      <c r="AJ25" s="60"/>
      <c r="AK25" s="31"/>
      <c r="AL25" s="61"/>
      <c r="AM25" s="60"/>
      <c r="AN25" s="31"/>
      <c r="AO25" s="61"/>
      <c r="AP25" s="60"/>
      <c r="AQ25" s="31"/>
      <c r="AR25" s="61"/>
      <c r="AS25" s="60"/>
      <c r="AT25" s="31"/>
      <c r="AU25" s="61"/>
    </row>
    <row r="26" ht="36.75" customHeight="1">
      <c r="A26" s="147" t="s">
        <v>41</v>
      </c>
      <c r="B26" s="157"/>
      <c r="C26" s="105" t="str">
        <f>VLOOKUP(D26,[1]Saldo!A25:B31298,2,0)</f>
        <v>#ERROR!</v>
      </c>
      <c r="D26" s="156" t="s">
        <v>623</v>
      </c>
      <c r="E26" s="156" t="s">
        <v>624</v>
      </c>
      <c r="F26" s="189">
        <v>3.0</v>
      </c>
      <c r="G26" s="191">
        <v>7000.0</v>
      </c>
      <c r="H26" s="190">
        <f>'PAINEL DE CONTROLE'!$J$5</f>
        <v>6544</v>
      </c>
      <c r="I26" s="190">
        <v>0.0</v>
      </c>
      <c r="J26" s="190">
        <f t="shared" si="3"/>
        <v>7000</v>
      </c>
      <c r="K26" s="190">
        <f t="shared" si="4"/>
        <v>456</v>
      </c>
      <c r="L26" s="60"/>
      <c r="M26" s="31"/>
      <c r="N26" s="61"/>
      <c r="O26" s="60"/>
      <c r="P26" s="31"/>
      <c r="Q26" s="61"/>
      <c r="R26" s="60"/>
      <c r="S26" s="31"/>
      <c r="T26" s="61"/>
      <c r="U26" s="60"/>
      <c r="V26" s="31"/>
      <c r="W26" s="61"/>
      <c r="X26" s="60"/>
      <c r="Y26" s="31"/>
      <c r="Z26" s="61"/>
      <c r="AA26" s="60"/>
      <c r="AB26" s="31"/>
      <c r="AC26" s="61"/>
      <c r="AD26" s="60"/>
      <c r="AE26" s="31"/>
      <c r="AF26" s="61"/>
      <c r="AG26" s="60"/>
      <c r="AH26" s="31"/>
      <c r="AI26" s="61"/>
      <c r="AJ26" s="60"/>
      <c r="AK26" s="31"/>
      <c r="AL26" s="61"/>
      <c r="AM26" s="60"/>
      <c r="AN26" s="31"/>
      <c r="AO26" s="61"/>
      <c r="AP26" s="60"/>
      <c r="AQ26" s="31"/>
      <c r="AR26" s="61"/>
      <c r="AS26" s="60"/>
      <c r="AT26" s="31"/>
      <c r="AU26" s="61"/>
    </row>
    <row r="27" ht="36.75" customHeight="1">
      <c r="A27" s="62"/>
      <c r="B27" s="157"/>
      <c r="C27" s="105" t="str">
        <f>VLOOKUP(D27,[1]Saldo!A26:B31299,2,0)</f>
        <v>#ERROR!</v>
      </c>
      <c r="D27" s="156" t="s">
        <v>625</v>
      </c>
      <c r="E27" s="156" t="s">
        <v>626</v>
      </c>
      <c r="F27" s="189">
        <v>6.0</v>
      </c>
      <c r="G27" s="191">
        <v>7000.0</v>
      </c>
      <c r="H27" s="190">
        <f>'PAINEL DE CONTROLE'!$J$5</f>
        <v>6544</v>
      </c>
      <c r="I27" s="190">
        <v>0.0</v>
      </c>
      <c r="J27" s="190">
        <f t="shared" si="3"/>
        <v>7000</v>
      </c>
      <c r="K27" s="190">
        <f t="shared" si="4"/>
        <v>456</v>
      </c>
      <c r="L27" s="60"/>
      <c r="M27" s="31"/>
      <c r="N27" s="61"/>
      <c r="O27" s="60"/>
      <c r="P27" s="31"/>
      <c r="Q27" s="61"/>
      <c r="R27" s="60"/>
      <c r="S27" s="31"/>
      <c r="T27" s="61"/>
      <c r="U27" s="60"/>
      <c r="V27" s="31"/>
      <c r="W27" s="61"/>
      <c r="X27" s="60"/>
      <c r="Y27" s="31"/>
      <c r="Z27" s="61"/>
      <c r="AA27" s="60"/>
      <c r="AB27" s="31"/>
      <c r="AC27" s="61"/>
      <c r="AD27" s="60"/>
      <c r="AE27" s="31"/>
      <c r="AF27" s="61"/>
      <c r="AG27" s="60"/>
      <c r="AH27" s="31"/>
      <c r="AI27" s="61"/>
      <c r="AJ27" s="60"/>
      <c r="AK27" s="31"/>
      <c r="AL27" s="61"/>
      <c r="AM27" s="60"/>
      <c r="AN27" s="31"/>
      <c r="AO27" s="61"/>
      <c r="AP27" s="60"/>
      <c r="AQ27" s="31"/>
      <c r="AR27" s="61"/>
      <c r="AS27" s="60"/>
      <c r="AT27" s="31"/>
      <c r="AU27" s="61"/>
    </row>
    <row r="28" ht="36.75" customHeight="1">
      <c r="A28" s="62"/>
      <c r="B28" s="157"/>
      <c r="C28" s="105" t="str">
        <f>VLOOKUP(D28,[1]Saldo!A27:B31300,2,0)</f>
        <v>#ERROR!</v>
      </c>
      <c r="D28" s="156" t="s">
        <v>627</v>
      </c>
      <c r="E28" s="156" t="s">
        <v>612</v>
      </c>
      <c r="F28" s="189">
        <v>2.0</v>
      </c>
      <c r="G28" s="191">
        <v>7000.0</v>
      </c>
      <c r="H28" s="190">
        <f>'PAINEL DE CONTROLE'!$J$5</f>
        <v>6544</v>
      </c>
      <c r="I28" s="190">
        <v>0.0</v>
      </c>
      <c r="J28" s="190">
        <f t="shared" si="3"/>
        <v>7000</v>
      </c>
      <c r="K28" s="190">
        <f t="shared" si="4"/>
        <v>456</v>
      </c>
      <c r="L28" s="60"/>
      <c r="M28" s="31"/>
      <c r="N28" s="61"/>
      <c r="O28" s="60"/>
      <c r="P28" s="31"/>
      <c r="Q28" s="61"/>
      <c r="R28" s="60"/>
      <c r="S28" s="31"/>
      <c r="T28" s="61"/>
      <c r="U28" s="60"/>
      <c r="V28" s="31"/>
      <c r="W28" s="61"/>
      <c r="X28" s="60"/>
      <c r="Y28" s="31"/>
      <c r="Z28" s="61"/>
      <c r="AA28" s="60"/>
      <c r="AB28" s="31"/>
      <c r="AC28" s="61"/>
      <c r="AD28" s="60"/>
      <c r="AE28" s="31"/>
      <c r="AF28" s="61"/>
      <c r="AG28" s="60"/>
      <c r="AH28" s="31"/>
      <c r="AI28" s="61"/>
      <c r="AJ28" s="60"/>
      <c r="AK28" s="31"/>
      <c r="AL28" s="61"/>
      <c r="AM28" s="60"/>
      <c r="AN28" s="31"/>
      <c r="AO28" s="61"/>
      <c r="AP28" s="60"/>
      <c r="AQ28" s="31"/>
      <c r="AR28" s="61"/>
      <c r="AS28" s="60"/>
      <c r="AT28" s="31"/>
      <c r="AU28" s="61"/>
    </row>
    <row r="29" ht="36.75" customHeight="1">
      <c r="A29" s="62"/>
      <c r="B29" s="157"/>
      <c r="C29" s="105" t="str">
        <f>VLOOKUP(D29,[1]Saldo!A28:B31301,2,0)</f>
        <v>#ERROR!</v>
      </c>
      <c r="D29" s="156" t="s">
        <v>628</v>
      </c>
      <c r="E29" s="156" t="s">
        <v>629</v>
      </c>
      <c r="F29" s="189">
        <v>2.0</v>
      </c>
      <c r="G29" s="191">
        <v>7000.0</v>
      </c>
      <c r="H29" s="190">
        <f>'PAINEL DE CONTROLE'!$J$5</f>
        <v>6544</v>
      </c>
      <c r="I29" s="190">
        <v>0.0</v>
      </c>
      <c r="J29" s="190">
        <f t="shared" si="3"/>
        <v>7000</v>
      </c>
      <c r="K29" s="190">
        <f t="shared" si="4"/>
        <v>456</v>
      </c>
      <c r="L29" s="60"/>
      <c r="M29" s="31"/>
      <c r="N29" s="61"/>
      <c r="O29" s="60"/>
      <c r="P29" s="31"/>
      <c r="Q29" s="61"/>
      <c r="R29" s="60"/>
      <c r="S29" s="31"/>
      <c r="T29" s="61"/>
      <c r="U29" s="60"/>
      <c r="V29" s="31"/>
      <c r="W29" s="61"/>
      <c r="X29" s="60"/>
      <c r="Y29" s="31"/>
      <c r="Z29" s="61"/>
      <c r="AA29" s="60"/>
      <c r="AB29" s="31"/>
      <c r="AC29" s="61"/>
      <c r="AD29" s="60"/>
      <c r="AE29" s="31"/>
      <c r="AF29" s="61"/>
      <c r="AG29" s="60"/>
      <c r="AH29" s="31"/>
      <c r="AI29" s="61"/>
      <c r="AJ29" s="60"/>
      <c r="AK29" s="31"/>
      <c r="AL29" s="61"/>
      <c r="AM29" s="60"/>
      <c r="AN29" s="31"/>
      <c r="AO29" s="61"/>
      <c r="AP29" s="60"/>
      <c r="AQ29" s="31"/>
      <c r="AR29" s="61"/>
      <c r="AS29" s="60"/>
      <c r="AT29" s="31"/>
      <c r="AU29" s="61"/>
    </row>
    <row r="30" ht="36.75" customHeight="1">
      <c r="A30" s="62"/>
      <c r="B30" s="157"/>
      <c r="C30" s="105" t="str">
        <f>VLOOKUP(D30,[1]Saldo!A29:B31302,2,0)</f>
        <v>#ERROR!</v>
      </c>
      <c r="D30" s="156" t="s">
        <v>630</v>
      </c>
      <c r="E30" s="156" t="s">
        <v>603</v>
      </c>
      <c r="F30" s="189">
        <v>2.0</v>
      </c>
      <c r="G30" s="191">
        <v>7000.0</v>
      </c>
      <c r="H30" s="190">
        <f>'PAINEL DE CONTROLE'!$J$5</f>
        <v>6544</v>
      </c>
      <c r="I30" s="190">
        <v>0.0</v>
      </c>
      <c r="J30" s="190">
        <f t="shared" si="3"/>
        <v>7000</v>
      </c>
      <c r="K30" s="190">
        <f t="shared" si="4"/>
        <v>456</v>
      </c>
      <c r="L30" s="60"/>
      <c r="M30" s="31"/>
      <c r="N30" s="61"/>
      <c r="O30" s="60"/>
      <c r="P30" s="31"/>
      <c r="Q30" s="61"/>
      <c r="R30" s="60"/>
      <c r="S30" s="31"/>
      <c r="T30" s="61"/>
      <c r="U30" s="60"/>
      <c r="V30" s="31"/>
      <c r="W30" s="61"/>
      <c r="X30" s="60"/>
      <c r="Y30" s="31"/>
      <c r="Z30" s="61"/>
      <c r="AA30" s="60"/>
      <c r="AB30" s="31"/>
      <c r="AC30" s="61"/>
      <c r="AD30" s="60"/>
      <c r="AE30" s="31"/>
      <c r="AF30" s="61"/>
      <c r="AG30" s="60"/>
      <c r="AH30" s="31"/>
      <c r="AI30" s="61"/>
      <c r="AJ30" s="60"/>
      <c r="AK30" s="31"/>
      <c r="AL30" s="61"/>
      <c r="AM30" s="60"/>
      <c r="AN30" s="31"/>
      <c r="AO30" s="61"/>
      <c r="AP30" s="60"/>
      <c r="AQ30" s="31"/>
      <c r="AR30" s="61"/>
      <c r="AS30" s="60"/>
      <c r="AT30" s="31"/>
      <c r="AU30" s="61"/>
    </row>
    <row r="31" ht="36.75" customHeight="1">
      <c r="A31" s="62"/>
      <c r="B31" s="157"/>
      <c r="C31" s="105" t="str">
        <f>VLOOKUP(D31,[1]Saldo!A30:B31303,2,0)</f>
        <v>#ERROR!</v>
      </c>
      <c r="D31" s="156" t="s">
        <v>631</v>
      </c>
      <c r="E31" s="156" t="s">
        <v>632</v>
      </c>
      <c r="F31" s="189">
        <v>2.0</v>
      </c>
      <c r="G31" s="191">
        <v>7000.0</v>
      </c>
      <c r="H31" s="190">
        <f>'PAINEL DE CONTROLE'!$J$5</f>
        <v>6544</v>
      </c>
      <c r="I31" s="190">
        <v>0.0</v>
      </c>
      <c r="J31" s="190">
        <f t="shared" si="3"/>
        <v>7000</v>
      </c>
      <c r="K31" s="190">
        <f t="shared" si="4"/>
        <v>456</v>
      </c>
      <c r="L31" s="60"/>
      <c r="M31" s="31"/>
      <c r="N31" s="61"/>
      <c r="O31" s="60"/>
      <c r="P31" s="31"/>
      <c r="Q31" s="61"/>
      <c r="R31" s="60"/>
      <c r="S31" s="31"/>
      <c r="T31" s="61"/>
      <c r="U31" s="60"/>
      <c r="V31" s="31"/>
      <c r="W31" s="61"/>
      <c r="X31" s="60"/>
      <c r="Y31" s="31"/>
      <c r="Z31" s="61"/>
      <c r="AA31" s="60"/>
      <c r="AB31" s="31"/>
      <c r="AC31" s="61"/>
      <c r="AD31" s="60"/>
      <c r="AE31" s="31"/>
      <c r="AF31" s="61"/>
      <c r="AG31" s="60"/>
      <c r="AH31" s="31"/>
      <c r="AI31" s="61"/>
      <c r="AJ31" s="60"/>
      <c r="AK31" s="31"/>
      <c r="AL31" s="61"/>
      <c r="AM31" s="60"/>
      <c r="AN31" s="31"/>
      <c r="AO31" s="61"/>
      <c r="AP31" s="60"/>
      <c r="AQ31" s="31"/>
      <c r="AR31" s="61"/>
      <c r="AS31" s="60"/>
      <c r="AT31" s="31"/>
      <c r="AU31" s="61"/>
    </row>
    <row r="32" ht="36.75" customHeight="1">
      <c r="A32" s="62"/>
      <c r="B32" s="157"/>
      <c r="C32" s="105" t="str">
        <f>VLOOKUP(D32,[1]Saldo!A31:B31304,2,0)</f>
        <v>#ERROR!</v>
      </c>
      <c r="D32" s="156" t="s">
        <v>633</v>
      </c>
      <c r="E32" s="156" t="s">
        <v>634</v>
      </c>
      <c r="F32" s="189">
        <v>1.0</v>
      </c>
      <c r="G32" s="191">
        <v>7000.0</v>
      </c>
      <c r="H32" s="190">
        <f>'PAINEL DE CONTROLE'!$J$5</f>
        <v>6544</v>
      </c>
      <c r="I32" s="190">
        <v>0.0</v>
      </c>
      <c r="J32" s="190">
        <f t="shared" si="3"/>
        <v>7000</v>
      </c>
      <c r="K32" s="190">
        <f t="shared" si="4"/>
        <v>456</v>
      </c>
      <c r="L32" s="60"/>
      <c r="M32" s="31"/>
      <c r="N32" s="61"/>
      <c r="O32" s="60"/>
      <c r="P32" s="31"/>
      <c r="Q32" s="61"/>
      <c r="R32" s="60"/>
      <c r="S32" s="31"/>
      <c r="T32" s="61"/>
      <c r="U32" s="60"/>
      <c r="V32" s="31"/>
      <c r="W32" s="61"/>
      <c r="X32" s="60"/>
      <c r="Y32" s="31"/>
      <c r="Z32" s="61"/>
      <c r="AA32" s="60"/>
      <c r="AB32" s="31"/>
      <c r="AC32" s="61"/>
      <c r="AD32" s="60"/>
      <c r="AE32" s="31"/>
      <c r="AF32" s="61"/>
      <c r="AG32" s="60"/>
      <c r="AH32" s="31"/>
      <c r="AI32" s="61"/>
      <c r="AJ32" s="60"/>
      <c r="AK32" s="31"/>
      <c r="AL32" s="61"/>
      <c r="AM32" s="60"/>
      <c r="AN32" s="31"/>
      <c r="AO32" s="61"/>
      <c r="AP32" s="60"/>
      <c r="AQ32" s="31"/>
      <c r="AR32" s="61"/>
      <c r="AS32" s="60"/>
      <c r="AT32" s="31"/>
      <c r="AU32" s="61"/>
    </row>
    <row r="33" ht="36.75" customHeight="1">
      <c r="A33" s="62"/>
      <c r="B33" s="157"/>
      <c r="C33" s="105" t="str">
        <f>VLOOKUP(D33,[1]Saldo!A32:B31305,2,0)</f>
        <v>#ERROR!</v>
      </c>
      <c r="D33" s="156" t="s">
        <v>635</v>
      </c>
      <c r="E33" s="156" t="s">
        <v>636</v>
      </c>
      <c r="F33" s="189">
        <v>2.0</v>
      </c>
      <c r="G33" s="191">
        <v>7000.0</v>
      </c>
      <c r="H33" s="190">
        <f>'PAINEL DE CONTROLE'!$J$5</f>
        <v>6544</v>
      </c>
      <c r="I33" s="190">
        <v>0.0</v>
      </c>
      <c r="J33" s="190">
        <f t="shared" si="3"/>
        <v>7000</v>
      </c>
      <c r="K33" s="190">
        <f t="shared" si="4"/>
        <v>456</v>
      </c>
      <c r="L33" s="60"/>
      <c r="M33" s="31"/>
      <c r="N33" s="61"/>
      <c r="O33" s="60"/>
      <c r="P33" s="31"/>
      <c r="Q33" s="61"/>
      <c r="R33" s="60"/>
      <c r="S33" s="31"/>
      <c r="T33" s="61"/>
      <c r="U33" s="60"/>
      <c r="V33" s="31"/>
      <c r="W33" s="61"/>
      <c r="X33" s="60"/>
      <c r="Y33" s="31"/>
      <c r="Z33" s="61"/>
      <c r="AA33" s="60"/>
      <c r="AB33" s="31"/>
      <c r="AC33" s="61"/>
      <c r="AD33" s="60"/>
      <c r="AE33" s="31"/>
      <c r="AF33" s="61"/>
      <c r="AG33" s="60"/>
      <c r="AH33" s="31"/>
      <c r="AI33" s="61"/>
      <c r="AJ33" s="60"/>
      <c r="AK33" s="31"/>
      <c r="AL33" s="61"/>
      <c r="AM33" s="60"/>
      <c r="AN33" s="31"/>
      <c r="AO33" s="61"/>
      <c r="AP33" s="60"/>
      <c r="AQ33" s="31"/>
      <c r="AR33" s="61"/>
      <c r="AS33" s="60"/>
      <c r="AT33" s="31"/>
      <c r="AU33" s="61"/>
    </row>
    <row r="34" ht="36.75" customHeight="1">
      <c r="A34" s="62"/>
      <c r="B34" s="157"/>
      <c r="C34" s="105" t="str">
        <f>VLOOKUP(D34,[1]Saldo!A33:B31306,2,0)</f>
        <v>#ERROR!</v>
      </c>
      <c r="D34" s="156" t="s">
        <v>637</v>
      </c>
      <c r="E34" s="156" t="s">
        <v>638</v>
      </c>
      <c r="F34" s="189">
        <v>1.0</v>
      </c>
      <c r="G34" s="191">
        <v>7000.0</v>
      </c>
      <c r="H34" s="190">
        <f>'PAINEL DE CONTROLE'!$J$5</f>
        <v>6544</v>
      </c>
      <c r="I34" s="190">
        <v>0.0</v>
      </c>
      <c r="J34" s="190">
        <f t="shared" si="3"/>
        <v>7000</v>
      </c>
      <c r="K34" s="190">
        <f t="shared" si="4"/>
        <v>456</v>
      </c>
      <c r="L34" s="60"/>
      <c r="M34" s="31"/>
      <c r="N34" s="61"/>
      <c r="O34" s="60"/>
      <c r="P34" s="31"/>
      <c r="Q34" s="61"/>
      <c r="R34" s="60"/>
      <c r="S34" s="31"/>
      <c r="T34" s="61"/>
      <c r="U34" s="60"/>
      <c r="V34" s="31"/>
      <c r="W34" s="61"/>
      <c r="X34" s="60"/>
      <c r="Y34" s="31"/>
      <c r="Z34" s="61"/>
      <c r="AA34" s="60"/>
      <c r="AB34" s="31"/>
      <c r="AC34" s="61"/>
      <c r="AD34" s="60"/>
      <c r="AE34" s="31"/>
      <c r="AF34" s="61"/>
      <c r="AG34" s="60"/>
      <c r="AH34" s="31"/>
      <c r="AI34" s="61"/>
      <c r="AJ34" s="60"/>
      <c r="AK34" s="31"/>
      <c r="AL34" s="61"/>
      <c r="AM34" s="60"/>
      <c r="AN34" s="31"/>
      <c r="AO34" s="61"/>
      <c r="AP34" s="60"/>
      <c r="AQ34" s="31"/>
      <c r="AR34" s="61"/>
      <c r="AS34" s="60"/>
      <c r="AT34" s="31"/>
      <c r="AU34" s="61"/>
    </row>
    <row r="35" ht="36.75" customHeight="1">
      <c r="A35" s="63"/>
      <c r="B35" s="157"/>
      <c r="C35" s="105" t="str">
        <f>VLOOKUP(D35,[1]Saldo!A34:B31307,2,0)</f>
        <v>#ERROR!</v>
      </c>
      <c r="D35" s="156" t="s">
        <v>639</v>
      </c>
      <c r="E35" s="156" t="s">
        <v>640</v>
      </c>
      <c r="F35" s="189">
        <v>2.0</v>
      </c>
      <c r="G35" s="191">
        <v>7000.0</v>
      </c>
      <c r="H35" s="190">
        <f>'PAINEL DE CONTROLE'!$J$5</f>
        <v>6544</v>
      </c>
      <c r="I35" s="190">
        <v>0.0</v>
      </c>
      <c r="J35" s="190">
        <f t="shared" si="3"/>
        <v>7000</v>
      </c>
      <c r="K35" s="190">
        <f t="shared" si="4"/>
        <v>456</v>
      </c>
      <c r="L35" s="60"/>
      <c r="M35" s="31"/>
      <c r="N35" s="61"/>
      <c r="O35" s="60"/>
      <c r="P35" s="31"/>
      <c r="Q35" s="61"/>
      <c r="R35" s="60"/>
      <c r="S35" s="31"/>
      <c r="T35" s="61"/>
      <c r="U35" s="60"/>
      <c r="V35" s="31"/>
      <c r="W35" s="61"/>
      <c r="X35" s="60"/>
      <c r="Y35" s="31"/>
      <c r="Z35" s="61"/>
      <c r="AA35" s="60"/>
      <c r="AB35" s="31"/>
      <c r="AC35" s="61"/>
      <c r="AD35" s="60"/>
      <c r="AE35" s="31"/>
      <c r="AF35" s="61"/>
      <c r="AG35" s="60"/>
      <c r="AH35" s="31"/>
      <c r="AI35" s="61"/>
      <c r="AJ35" s="60"/>
      <c r="AK35" s="31"/>
      <c r="AL35" s="61"/>
      <c r="AM35" s="60"/>
      <c r="AN35" s="31"/>
      <c r="AO35" s="61"/>
      <c r="AP35" s="60"/>
      <c r="AQ35" s="31"/>
      <c r="AR35" s="61"/>
      <c r="AS35" s="60"/>
      <c r="AT35" s="31"/>
      <c r="AU35" s="61"/>
    </row>
    <row r="36" ht="36.75" customHeight="1">
      <c r="A36" s="147" t="s">
        <v>42</v>
      </c>
      <c r="B36" s="156"/>
      <c r="C36" s="105" t="str">
        <f>VLOOKUP(D36,[1]Saldo!A35:B31308,2,0)</f>
        <v>#ERROR!</v>
      </c>
      <c r="D36" s="156" t="s">
        <v>641</v>
      </c>
      <c r="E36" s="156" t="s">
        <v>595</v>
      </c>
      <c r="F36" s="189">
        <v>2.0</v>
      </c>
      <c r="G36" s="191">
        <v>6000.0</v>
      </c>
      <c r="H36" s="190">
        <f>'PAINEL DE CONTROLE'!$J$5</f>
        <v>6544</v>
      </c>
      <c r="I36" s="190">
        <v>0.0</v>
      </c>
      <c r="J36" s="190">
        <f t="shared" si="3"/>
        <v>6000</v>
      </c>
      <c r="K36" s="190">
        <f t="shared" si="4"/>
        <v>-544</v>
      </c>
      <c r="L36" s="60"/>
      <c r="M36" s="31"/>
      <c r="N36" s="61"/>
      <c r="O36" s="60"/>
      <c r="P36" s="31"/>
      <c r="Q36" s="61"/>
      <c r="R36" s="60"/>
      <c r="S36" s="31"/>
      <c r="T36" s="61"/>
      <c r="U36" s="60"/>
      <c r="V36" s="31"/>
      <c r="W36" s="61"/>
      <c r="X36" s="60"/>
      <c r="Y36" s="31"/>
      <c r="Z36" s="61"/>
      <c r="AA36" s="60"/>
      <c r="AB36" s="31"/>
      <c r="AC36" s="61"/>
      <c r="AD36" s="60"/>
      <c r="AE36" s="31"/>
      <c r="AF36" s="61"/>
      <c r="AG36" s="60"/>
      <c r="AH36" s="31"/>
      <c r="AI36" s="61"/>
      <c r="AJ36" s="60"/>
      <c r="AK36" s="31"/>
      <c r="AL36" s="61"/>
      <c r="AM36" s="60"/>
      <c r="AN36" s="31"/>
      <c r="AO36" s="61"/>
      <c r="AP36" s="60"/>
      <c r="AQ36" s="31"/>
      <c r="AR36" s="61"/>
      <c r="AS36" s="60"/>
      <c r="AT36" s="31"/>
      <c r="AU36" s="61"/>
    </row>
    <row r="37" ht="36.75" customHeight="1">
      <c r="A37" s="62"/>
      <c r="B37" s="156"/>
      <c r="C37" s="105" t="str">
        <f>VLOOKUP(D37,[1]Saldo!A36:B31309,2,0)</f>
        <v>#ERROR!</v>
      </c>
      <c r="D37" s="156" t="s">
        <v>642</v>
      </c>
      <c r="E37" s="156" t="s">
        <v>643</v>
      </c>
      <c r="F37" s="189">
        <v>4.0</v>
      </c>
      <c r="G37" s="191">
        <v>6000.0</v>
      </c>
      <c r="H37" s="190">
        <f>'PAINEL DE CONTROLE'!$J$5</f>
        <v>6544</v>
      </c>
      <c r="I37" s="190">
        <v>0.0</v>
      </c>
      <c r="J37" s="190">
        <f t="shared" si="3"/>
        <v>6000</v>
      </c>
      <c r="K37" s="190">
        <f t="shared" si="4"/>
        <v>-544</v>
      </c>
      <c r="L37" s="60"/>
      <c r="M37" s="31"/>
      <c r="N37" s="61"/>
      <c r="O37" s="60"/>
      <c r="P37" s="31"/>
      <c r="Q37" s="61"/>
      <c r="R37" s="60"/>
      <c r="S37" s="31"/>
      <c r="T37" s="61"/>
      <c r="U37" s="60"/>
      <c r="V37" s="31"/>
      <c r="W37" s="61"/>
      <c r="X37" s="60"/>
      <c r="Y37" s="31"/>
      <c r="Z37" s="61"/>
      <c r="AA37" s="60"/>
      <c r="AB37" s="31"/>
      <c r="AC37" s="61"/>
      <c r="AD37" s="60"/>
      <c r="AE37" s="31"/>
      <c r="AF37" s="61"/>
      <c r="AG37" s="60"/>
      <c r="AH37" s="31"/>
      <c r="AI37" s="61"/>
      <c r="AJ37" s="60"/>
      <c r="AK37" s="31"/>
      <c r="AL37" s="61"/>
      <c r="AM37" s="60"/>
      <c r="AN37" s="31"/>
      <c r="AO37" s="61"/>
      <c r="AP37" s="60"/>
      <c r="AQ37" s="31"/>
      <c r="AR37" s="61"/>
      <c r="AS37" s="60"/>
      <c r="AT37" s="31"/>
      <c r="AU37" s="61"/>
    </row>
    <row r="38" ht="36.75" customHeight="1">
      <c r="A38" s="62"/>
      <c r="B38" s="156"/>
      <c r="C38" s="105" t="str">
        <f>VLOOKUP(D38,[1]Saldo!A37:B31310,2,0)</f>
        <v>#ERROR!</v>
      </c>
      <c r="D38" s="156" t="s">
        <v>644</v>
      </c>
      <c r="E38" s="156" t="s">
        <v>645</v>
      </c>
      <c r="F38" s="189">
        <v>2.0</v>
      </c>
      <c r="G38" s="191">
        <v>6000.0</v>
      </c>
      <c r="H38" s="190">
        <f>'PAINEL DE CONTROLE'!$J$5</f>
        <v>6544</v>
      </c>
      <c r="I38" s="190">
        <v>0.0</v>
      </c>
      <c r="J38" s="190">
        <f t="shared" si="3"/>
        <v>6000</v>
      </c>
      <c r="K38" s="190">
        <f t="shared" si="4"/>
        <v>-544</v>
      </c>
      <c r="L38" s="60"/>
      <c r="M38" s="31"/>
      <c r="N38" s="61"/>
      <c r="O38" s="60"/>
      <c r="P38" s="31"/>
      <c r="Q38" s="61"/>
      <c r="R38" s="60"/>
      <c r="S38" s="31"/>
      <c r="T38" s="61"/>
      <c r="U38" s="60"/>
      <c r="V38" s="31"/>
      <c r="W38" s="61"/>
      <c r="X38" s="60"/>
      <c r="Y38" s="31"/>
      <c r="Z38" s="61"/>
      <c r="AA38" s="60"/>
      <c r="AB38" s="31"/>
      <c r="AC38" s="61"/>
      <c r="AD38" s="60"/>
      <c r="AE38" s="31"/>
      <c r="AF38" s="61"/>
      <c r="AG38" s="60"/>
      <c r="AH38" s="31"/>
      <c r="AI38" s="61"/>
      <c r="AJ38" s="60"/>
      <c r="AK38" s="31"/>
      <c r="AL38" s="61"/>
      <c r="AM38" s="60"/>
      <c r="AN38" s="31"/>
      <c r="AO38" s="61"/>
      <c r="AP38" s="60"/>
      <c r="AQ38" s="31"/>
      <c r="AR38" s="61"/>
      <c r="AS38" s="60"/>
      <c r="AT38" s="31"/>
      <c r="AU38" s="61"/>
    </row>
    <row r="39" ht="36.75" customHeight="1">
      <c r="A39" s="62"/>
      <c r="B39" s="156"/>
      <c r="C39" s="105" t="str">
        <f>VLOOKUP(D39,[1]Saldo!A38:B31311,2,0)</f>
        <v>#ERROR!</v>
      </c>
      <c r="D39" s="156" t="s">
        <v>646</v>
      </c>
      <c r="E39" s="156" t="s">
        <v>647</v>
      </c>
      <c r="F39" s="189">
        <v>2.0</v>
      </c>
      <c r="G39" s="191">
        <v>12000.0</v>
      </c>
      <c r="H39" s="190">
        <f>'PAINEL DE CONTROLE'!$J$5</f>
        <v>6544</v>
      </c>
      <c r="I39" s="190">
        <v>0.0</v>
      </c>
      <c r="J39" s="190">
        <f t="shared" si="3"/>
        <v>12000</v>
      </c>
      <c r="K39" s="190">
        <f t="shared" si="4"/>
        <v>5456</v>
      </c>
      <c r="L39" s="60"/>
      <c r="M39" s="31"/>
      <c r="N39" s="61"/>
      <c r="O39" s="60"/>
      <c r="P39" s="31"/>
      <c r="Q39" s="61"/>
      <c r="R39" s="60"/>
      <c r="S39" s="31"/>
      <c r="T39" s="61"/>
      <c r="U39" s="60"/>
      <c r="V39" s="31"/>
      <c r="W39" s="61"/>
      <c r="X39" s="60"/>
      <c r="Y39" s="31"/>
      <c r="Z39" s="61"/>
      <c r="AA39" s="60"/>
      <c r="AB39" s="31"/>
      <c r="AC39" s="61"/>
      <c r="AD39" s="60"/>
      <c r="AE39" s="31"/>
      <c r="AF39" s="61"/>
      <c r="AG39" s="60"/>
      <c r="AH39" s="31"/>
      <c r="AI39" s="61"/>
      <c r="AJ39" s="60"/>
      <c r="AK39" s="31"/>
      <c r="AL39" s="61"/>
      <c r="AM39" s="60"/>
      <c r="AN39" s="31"/>
      <c r="AO39" s="61"/>
      <c r="AP39" s="60"/>
      <c r="AQ39" s="31"/>
      <c r="AR39" s="61"/>
      <c r="AS39" s="60"/>
      <c r="AT39" s="31"/>
      <c r="AU39" s="61"/>
    </row>
    <row r="40" ht="36.75" customHeight="1">
      <c r="A40" s="63"/>
      <c r="B40" s="156"/>
      <c r="C40" s="105" t="str">
        <f>VLOOKUP(D40,[1]Saldo!A39:B31312,2,0)</f>
        <v>#ERROR!</v>
      </c>
      <c r="D40" s="156" t="s">
        <v>648</v>
      </c>
      <c r="E40" s="156" t="s">
        <v>556</v>
      </c>
      <c r="F40" s="189">
        <v>2.0</v>
      </c>
      <c r="G40" s="191">
        <v>12000.0</v>
      </c>
      <c r="H40" s="190">
        <f>'PAINEL DE CONTROLE'!$J$5</f>
        <v>6544</v>
      </c>
      <c r="I40" s="190">
        <v>0.0</v>
      </c>
      <c r="J40" s="190">
        <f t="shared" si="3"/>
        <v>12000</v>
      </c>
      <c r="K40" s="190">
        <f t="shared" si="4"/>
        <v>5456</v>
      </c>
      <c r="L40" s="60"/>
      <c r="M40" s="31"/>
      <c r="N40" s="61"/>
      <c r="O40" s="60"/>
      <c r="P40" s="31"/>
      <c r="Q40" s="61"/>
      <c r="R40" s="60"/>
      <c r="S40" s="31"/>
      <c r="T40" s="61"/>
      <c r="U40" s="60"/>
      <c r="V40" s="31"/>
      <c r="W40" s="61"/>
      <c r="X40" s="60"/>
      <c r="Y40" s="31"/>
      <c r="Z40" s="61"/>
      <c r="AA40" s="60"/>
      <c r="AB40" s="31"/>
      <c r="AC40" s="61"/>
      <c r="AD40" s="60"/>
      <c r="AE40" s="31"/>
      <c r="AF40" s="61"/>
      <c r="AG40" s="60"/>
      <c r="AH40" s="31"/>
      <c r="AI40" s="61"/>
      <c r="AJ40" s="60"/>
      <c r="AK40" s="31"/>
      <c r="AL40" s="61"/>
      <c r="AM40" s="60"/>
      <c r="AN40" s="31"/>
      <c r="AO40" s="61"/>
      <c r="AP40" s="60"/>
      <c r="AQ40" s="31"/>
      <c r="AR40" s="61"/>
      <c r="AS40" s="60"/>
      <c r="AT40" s="31"/>
      <c r="AU40" s="61"/>
    </row>
    <row r="41" ht="36.75" customHeight="1">
      <c r="A41" s="147" t="s">
        <v>43</v>
      </c>
      <c r="B41" s="156"/>
      <c r="C41" s="105" t="str">
        <f>VLOOKUP(D41,[1]Saldo!A40:B31313,2,0)</f>
        <v>#ERROR!</v>
      </c>
      <c r="D41" s="156" t="s">
        <v>649</v>
      </c>
      <c r="E41" s="156" t="s">
        <v>650</v>
      </c>
      <c r="F41" s="189">
        <v>1.0</v>
      </c>
      <c r="G41" s="191">
        <v>5000.0</v>
      </c>
      <c r="H41" s="190">
        <f>'PAINEL DE CONTROLE'!$J$5</f>
        <v>6544</v>
      </c>
      <c r="I41" s="190">
        <v>0.0</v>
      </c>
      <c r="J41" s="190">
        <f t="shared" si="3"/>
        <v>5000</v>
      </c>
      <c r="K41" s="190">
        <f t="shared" si="4"/>
        <v>-1544</v>
      </c>
      <c r="L41" s="60"/>
      <c r="M41" s="31"/>
      <c r="N41" s="61"/>
      <c r="O41" s="60"/>
      <c r="P41" s="31"/>
      <c r="Q41" s="61"/>
      <c r="R41" s="60"/>
      <c r="S41" s="31"/>
      <c r="T41" s="61"/>
      <c r="U41" s="60"/>
      <c r="V41" s="31"/>
      <c r="W41" s="61"/>
      <c r="X41" s="60"/>
      <c r="Y41" s="31"/>
      <c r="Z41" s="61"/>
      <c r="AA41" s="60"/>
      <c r="AB41" s="31"/>
      <c r="AC41" s="61"/>
      <c r="AD41" s="60"/>
      <c r="AE41" s="31"/>
      <c r="AF41" s="61"/>
      <c r="AG41" s="60"/>
      <c r="AH41" s="31"/>
      <c r="AI41" s="61"/>
      <c r="AJ41" s="60"/>
      <c r="AK41" s="31"/>
      <c r="AL41" s="61"/>
      <c r="AM41" s="60"/>
      <c r="AN41" s="31"/>
      <c r="AO41" s="61"/>
      <c r="AP41" s="60"/>
      <c r="AQ41" s="31"/>
      <c r="AR41" s="61"/>
      <c r="AS41" s="60"/>
      <c r="AT41" s="31"/>
      <c r="AU41" s="61"/>
    </row>
    <row r="42" ht="36.75" customHeight="1">
      <c r="A42" s="62"/>
      <c r="B42" s="156"/>
      <c r="C42" s="105" t="str">
        <f>VLOOKUP(D42,[1]Saldo!A41:B31314,2,0)</f>
        <v>#ERROR!</v>
      </c>
      <c r="D42" s="156" t="s">
        <v>639</v>
      </c>
      <c r="E42" s="156" t="s">
        <v>612</v>
      </c>
      <c r="F42" s="189">
        <v>1.0</v>
      </c>
      <c r="G42" s="191">
        <v>5000.0</v>
      </c>
      <c r="H42" s="190">
        <f>'PAINEL DE CONTROLE'!$J$5</f>
        <v>6544</v>
      </c>
      <c r="I42" s="190">
        <v>0.0</v>
      </c>
      <c r="J42" s="190">
        <f t="shared" si="3"/>
        <v>5000</v>
      </c>
      <c r="K42" s="190">
        <f t="shared" si="4"/>
        <v>-1544</v>
      </c>
      <c r="L42" s="60"/>
      <c r="M42" s="31"/>
      <c r="N42" s="61"/>
      <c r="O42" s="60"/>
      <c r="P42" s="31"/>
      <c r="Q42" s="61"/>
      <c r="R42" s="60"/>
      <c r="S42" s="31"/>
      <c r="T42" s="61"/>
      <c r="U42" s="60"/>
      <c r="V42" s="31"/>
      <c r="W42" s="61"/>
      <c r="X42" s="60"/>
      <c r="Y42" s="31"/>
      <c r="Z42" s="61"/>
      <c r="AA42" s="60"/>
      <c r="AB42" s="31"/>
      <c r="AC42" s="61"/>
      <c r="AD42" s="60"/>
      <c r="AE42" s="31"/>
      <c r="AF42" s="61"/>
      <c r="AG42" s="60"/>
      <c r="AH42" s="31"/>
      <c r="AI42" s="61"/>
      <c r="AJ42" s="60"/>
      <c r="AK42" s="31"/>
      <c r="AL42" s="61"/>
      <c r="AM42" s="60"/>
      <c r="AN42" s="31"/>
      <c r="AO42" s="61"/>
      <c r="AP42" s="60"/>
      <c r="AQ42" s="31"/>
      <c r="AR42" s="61"/>
      <c r="AS42" s="60"/>
      <c r="AT42" s="31"/>
      <c r="AU42" s="61"/>
    </row>
    <row r="43" ht="36.75" customHeight="1">
      <c r="A43" s="62"/>
      <c r="B43" s="156"/>
      <c r="C43" s="105" t="str">
        <f>VLOOKUP(D43,[1]Saldo!A42:B31315,2,0)</f>
        <v>#ERROR!</v>
      </c>
      <c r="D43" s="156" t="s">
        <v>651</v>
      </c>
      <c r="E43" s="156" t="s">
        <v>612</v>
      </c>
      <c r="F43" s="189">
        <v>1.0</v>
      </c>
      <c r="G43" s="191">
        <v>5000.0</v>
      </c>
      <c r="H43" s="190">
        <f>'PAINEL DE CONTROLE'!$J$5</f>
        <v>6544</v>
      </c>
      <c r="I43" s="190">
        <v>0.0</v>
      </c>
      <c r="J43" s="190">
        <f t="shared" si="3"/>
        <v>5000</v>
      </c>
      <c r="K43" s="190">
        <f t="shared" si="4"/>
        <v>-1544</v>
      </c>
      <c r="L43" s="60"/>
      <c r="M43" s="31"/>
      <c r="N43" s="61"/>
      <c r="O43" s="60"/>
      <c r="P43" s="31"/>
      <c r="Q43" s="61"/>
      <c r="R43" s="60"/>
      <c r="S43" s="31"/>
      <c r="T43" s="61"/>
      <c r="U43" s="60"/>
      <c r="V43" s="31"/>
      <c r="W43" s="61"/>
      <c r="X43" s="60"/>
      <c r="Y43" s="31"/>
      <c r="Z43" s="61"/>
      <c r="AA43" s="60"/>
      <c r="AB43" s="31"/>
      <c r="AC43" s="61"/>
      <c r="AD43" s="60"/>
      <c r="AE43" s="31"/>
      <c r="AF43" s="61"/>
      <c r="AG43" s="60"/>
      <c r="AH43" s="31"/>
      <c r="AI43" s="61"/>
      <c r="AJ43" s="60"/>
      <c r="AK43" s="31"/>
      <c r="AL43" s="61"/>
      <c r="AM43" s="60"/>
      <c r="AN43" s="31"/>
      <c r="AO43" s="61"/>
      <c r="AP43" s="60"/>
      <c r="AQ43" s="31"/>
      <c r="AR43" s="61"/>
      <c r="AS43" s="60"/>
      <c r="AT43" s="31"/>
      <c r="AU43" s="61"/>
    </row>
    <row r="44" ht="36.75" customHeight="1">
      <c r="A44" s="62"/>
      <c r="B44" s="156"/>
      <c r="C44" s="105" t="str">
        <f>VLOOKUP(D44,[1]Saldo!A43:B31316,2,0)</f>
        <v>#ERROR!</v>
      </c>
      <c r="D44" s="156" t="s">
        <v>652</v>
      </c>
      <c r="E44" s="156" t="s">
        <v>653</v>
      </c>
      <c r="F44" s="189">
        <v>2.0</v>
      </c>
      <c r="G44" s="191">
        <v>5000.0</v>
      </c>
      <c r="H44" s="190">
        <f>'PAINEL DE CONTROLE'!$J$5</f>
        <v>6544</v>
      </c>
      <c r="I44" s="190">
        <v>0.0</v>
      </c>
      <c r="J44" s="190">
        <f t="shared" si="3"/>
        <v>5000</v>
      </c>
      <c r="K44" s="190">
        <f t="shared" si="4"/>
        <v>-1544</v>
      </c>
      <c r="L44" s="60"/>
      <c r="M44" s="31"/>
      <c r="N44" s="61"/>
      <c r="O44" s="60"/>
      <c r="P44" s="31"/>
      <c r="Q44" s="61"/>
      <c r="R44" s="60"/>
      <c r="S44" s="31"/>
      <c r="T44" s="61"/>
      <c r="U44" s="60"/>
      <c r="V44" s="31"/>
      <c r="W44" s="61"/>
      <c r="X44" s="60"/>
      <c r="Y44" s="31"/>
      <c r="Z44" s="61"/>
      <c r="AA44" s="60"/>
      <c r="AB44" s="31"/>
      <c r="AC44" s="61"/>
      <c r="AD44" s="60"/>
      <c r="AE44" s="31"/>
      <c r="AF44" s="61"/>
      <c r="AG44" s="60"/>
      <c r="AH44" s="31"/>
      <c r="AI44" s="61"/>
      <c r="AJ44" s="60"/>
      <c r="AK44" s="31"/>
      <c r="AL44" s="61"/>
      <c r="AM44" s="60"/>
      <c r="AN44" s="31"/>
      <c r="AO44" s="61"/>
      <c r="AP44" s="60"/>
      <c r="AQ44" s="31"/>
      <c r="AR44" s="61"/>
      <c r="AS44" s="60"/>
      <c r="AT44" s="31"/>
      <c r="AU44" s="61"/>
    </row>
    <row r="45" ht="36.75" customHeight="1">
      <c r="A45" s="62"/>
      <c r="B45" s="156"/>
      <c r="C45" s="105" t="str">
        <f>VLOOKUP(D45,[1]Saldo!A44:B31317,2,0)</f>
        <v>#ERROR!</v>
      </c>
      <c r="D45" s="156" t="s">
        <v>654</v>
      </c>
      <c r="E45" s="156" t="s">
        <v>655</v>
      </c>
      <c r="F45" s="189">
        <v>1.0</v>
      </c>
      <c r="G45" s="191">
        <v>5000.0</v>
      </c>
      <c r="H45" s="190">
        <f>'PAINEL DE CONTROLE'!$J$5</f>
        <v>6544</v>
      </c>
      <c r="I45" s="190">
        <v>0.0</v>
      </c>
      <c r="J45" s="190">
        <f t="shared" si="3"/>
        <v>5000</v>
      </c>
      <c r="K45" s="190">
        <f t="shared" si="4"/>
        <v>-1544</v>
      </c>
      <c r="L45" s="60"/>
      <c r="M45" s="31"/>
      <c r="N45" s="61"/>
      <c r="O45" s="60"/>
      <c r="P45" s="31"/>
      <c r="Q45" s="61"/>
      <c r="R45" s="60"/>
      <c r="S45" s="31"/>
      <c r="T45" s="61"/>
      <c r="U45" s="60"/>
      <c r="V45" s="31"/>
      <c r="W45" s="61"/>
      <c r="X45" s="60"/>
      <c r="Y45" s="31"/>
      <c r="Z45" s="61"/>
      <c r="AA45" s="60"/>
      <c r="AB45" s="31"/>
      <c r="AC45" s="61"/>
      <c r="AD45" s="60"/>
      <c r="AE45" s="31"/>
      <c r="AF45" s="61"/>
      <c r="AG45" s="60"/>
      <c r="AH45" s="31"/>
      <c r="AI45" s="61"/>
      <c r="AJ45" s="60"/>
      <c r="AK45" s="31"/>
      <c r="AL45" s="61"/>
      <c r="AM45" s="60"/>
      <c r="AN45" s="31"/>
      <c r="AO45" s="61"/>
      <c r="AP45" s="60"/>
      <c r="AQ45" s="31"/>
      <c r="AR45" s="61"/>
      <c r="AS45" s="60"/>
      <c r="AT45" s="31"/>
      <c r="AU45" s="61"/>
    </row>
    <row r="46" ht="36.75" customHeight="1">
      <c r="A46" s="62"/>
      <c r="B46" s="156"/>
      <c r="C46" s="105" t="str">
        <f>VLOOKUP(D46,[1]Saldo!A45:B31318,2,0)</f>
        <v>#ERROR!</v>
      </c>
      <c r="D46" s="156" t="s">
        <v>656</v>
      </c>
      <c r="E46" s="156" t="s">
        <v>657</v>
      </c>
      <c r="F46" s="189">
        <v>1.0</v>
      </c>
      <c r="G46" s="191">
        <v>5000.0</v>
      </c>
      <c r="H46" s="190">
        <f>'PAINEL DE CONTROLE'!$J$5</f>
        <v>6544</v>
      </c>
      <c r="I46" s="190">
        <v>0.0</v>
      </c>
      <c r="J46" s="190">
        <f t="shared" si="3"/>
        <v>5000</v>
      </c>
      <c r="K46" s="190">
        <f t="shared" si="4"/>
        <v>-1544</v>
      </c>
      <c r="L46" s="60"/>
      <c r="M46" s="31"/>
      <c r="N46" s="61"/>
      <c r="O46" s="60"/>
      <c r="P46" s="31"/>
      <c r="Q46" s="61"/>
      <c r="R46" s="60"/>
      <c r="S46" s="31"/>
      <c r="T46" s="61"/>
      <c r="U46" s="60"/>
      <c r="V46" s="31"/>
      <c r="W46" s="61"/>
      <c r="X46" s="60"/>
      <c r="Y46" s="31"/>
      <c r="Z46" s="61"/>
      <c r="AA46" s="60"/>
      <c r="AB46" s="31"/>
      <c r="AC46" s="61"/>
      <c r="AD46" s="60"/>
      <c r="AE46" s="31"/>
      <c r="AF46" s="61"/>
      <c r="AG46" s="60"/>
      <c r="AH46" s="31"/>
      <c r="AI46" s="61"/>
      <c r="AJ46" s="60"/>
      <c r="AK46" s="31"/>
      <c r="AL46" s="61"/>
      <c r="AM46" s="60"/>
      <c r="AN46" s="31"/>
      <c r="AO46" s="61"/>
      <c r="AP46" s="60"/>
      <c r="AQ46" s="31"/>
      <c r="AR46" s="61"/>
      <c r="AS46" s="60"/>
      <c r="AT46" s="31"/>
      <c r="AU46" s="61"/>
    </row>
    <row r="47" ht="36.75" customHeight="1">
      <c r="A47" s="62"/>
      <c r="B47" s="156"/>
      <c r="C47" s="105" t="str">
        <f>VLOOKUP(D47,[1]Saldo!A46:B31319,2,0)</f>
        <v>#ERROR!</v>
      </c>
      <c r="D47" s="156" t="s">
        <v>658</v>
      </c>
      <c r="E47" s="156" t="s">
        <v>657</v>
      </c>
      <c r="F47" s="189">
        <v>1.0</v>
      </c>
      <c r="G47" s="191">
        <v>5000.0</v>
      </c>
      <c r="H47" s="190">
        <f>'PAINEL DE CONTROLE'!$J$5</f>
        <v>6544</v>
      </c>
      <c r="I47" s="190">
        <v>0.0</v>
      </c>
      <c r="J47" s="190">
        <f t="shared" si="3"/>
        <v>5000</v>
      </c>
      <c r="K47" s="190">
        <f t="shared" si="4"/>
        <v>-1544</v>
      </c>
      <c r="L47" s="60"/>
      <c r="M47" s="31"/>
      <c r="N47" s="61"/>
      <c r="O47" s="60"/>
      <c r="P47" s="31"/>
      <c r="Q47" s="61"/>
      <c r="R47" s="60"/>
      <c r="S47" s="31"/>
      <c r="T47" s="61"/>
      <c r="U47" s="60"/>
      <c r="V47" s="31"/>
      <c r="W47" s="61"/>
      <c r="X47" s="60"/>
      <c r="Y47" s="31"/>
      <c r="Z47" s="61"/>
      <c r="AA47" s="60"/>
      <c r="AB47" s="31"/>
      <c r="AC47" s="61"/>
      <c r="AD47" s="60"/>
      <c r="AE47" s="31"/>
      <c r="AF47" s="61"/>
      <c r="AG47" s="60"/>
      <c r="AH47" s="31"/>
      <c r="AI47" s="61"/>
      <c r="AJ47" s="60"/>
      <c r="AK47" s="31"/>
      <c r="AL47" s="61"/>
      <c r="AM47" s="60"/>
      <c r="AN47" s="31"/>
      <c r="AO47" s="61"/>
      <c r="AP47" s="60"/>
      <c r="AQ47" s="31"/>
      <c r="AR47" s="61"/>
      <c r="AS47" s="60"/>
      <c r="AT47" s="31"/>
      <c r="AU47" s="61"/>
    </row>
    <row r="48" ht="36.75" customHeight="1">
      <c r="A48" s="62"/>
      <c r="B48" s="156"/>
      <c r="C48" s="105" t="str">
        <f>VLOOKUP(D48,[1]Saldo!A47:B31320,2,0)</f>
        <v>#ERROR!</v>
      </c>
      <c r="D48" s="156" t="s">
        <v>659</v>
      </c>
      <c r="E48" s="156" t="s">
        <v>657</v>
      </c>
      <c r="F48" s="189">
        <v>4.0</v>
      </c>
      <c r="G48" s="191">
        <v>5000.0</v>
      </c>
      <c r="H48" s="190">
        <f>'PAINEL DE CONTROLE'!$J$5</f>
        <v>6544</v>
      </c>
      <c r="I48" s="190">
        <v>0.0</v>
      </c>
      <c r="J48" s="190">
        <f t="shared" si="3"/>
        <v>5000</v>
      </c>
      <c r="K48" s="190">
        <f t="shared" si="4"/>
        <v>-1544</v>
      </c>
      <c r="L48" s="60"/>
      <c r="M48" s="31"/>
      <c r="N48" s="61"/>
      <c r="O48" s="60"/>
      <c r="P48" s="31"/>
      <c r="Q48" s="61"/>
      <c r="R48" s="60"/>
      <c r="S48" s="31"/>
      <c r="T48" s="61"/>
      <c r="U48" s="60"/>
      <c r="V48" s="31"/>
      <c r="W48" s="61"/>
      <c r="X48" s="60"/>
      <c r="Y48" s="31"/>
      <c r="Z48" s="61"/>
      <c r="AA48" s="60"/>
      <c r="AB48" s="31"/>
      <c r="AC48" s="61"/>
      <c r="AD48" s="60"/>
      <c r="AE48" s="31"/>
      <c r="AF48" s="61"/>
      <c r="AG48" s="60"/>
      <c r="AH48" s="31"/>
      <c r="AI48" s="61"/>
      <c r="AJ48" s="60"/>
      <c r="AK48" s="31"/>
      <c r="AL48" s="61"/>
      <c r="AM48" s="60"/>
      <c r="AN48" s="31"/>
      <c r="AO48" s="61"/>
      <c r="AP48" s="60"/>
      <c r="AQ48" s="31"/>
      <c r="AR48" s="61"/>
      <c r="AS48" s="60"/>
      <c r="AT48" s="31"/>
      <c r="AU48" s="61"/>
    </row>
    <row r="49" ht="36.75" customHeight="1">
      <c r="A49" s="62"/>
      <c r="B49" s="156"/>
      <c r="C49" s="105" t="str">
        <f>VLOOKUP(D49,[1]Saldo!A48:B31321,2,0)</f>
        <v>#ERROR!</v>
      </c>
      <c r="D49" s="156" t="s">
        <v>660</v>
      </c>
      <c r="E49" s="156" t="s">
        <v>661</v>
      </c>
      <c r="F49" s="189">
        <v>4.0</v>
      </c>
      <c r="G49" s="191">
        <v>5000.0</v>
      </c>
      <c r="H49" s="190">
        <f>'PAINEL DE CONTROLE'!$J$5</f>
        <v>6544</v>
      </c>
      <c r="I49" s="190">
        <v>0.0</v>
      </c>
      <c r="J49" s="190">
        <f t="shared" si="3"/>
        <v>5000</v>
      </c>
      <c r="K49" s="190">
        <f t="shared" si="4"/>
        <v>-1544</v>
      </c>
      <c r="L49" s="60"/>
      <c r="M49" s="31"/>
      <c r="N49" s="61"/>
      <c r="O49" s="60"/>
      <c r="P49" s="31"/>
      <c r="Q49" s="61"/>
      <c r="R49" s="60"/>
      <c r="S49" s="31"/>
      <c r="T49" s="61"/>
      <c r="U49" s="60"/>
      <c r="V49" s="31"/>
      <c r="W49" s="61"/>
      <c r="X49" s="60"/>
      <c r="Y49" s="31"/>
      <c r="Z49" s="61"/>
      <c r="AA49" s="60"/>
      <c r="AB49" s="31"/>
      <c r="AC49" s="61"/>
      <c r="AD49" s="60"/>
      <c r="AE49" s="31"/>
      <c r="AF49" s="61"/>
      <c r="AG49" s="60"/>
      <c r="AH49" s="31"/>
      <c r="AI49" s="61"/>
      <c r="AJ49" s="60"/>
      <c r="AK49" s="31"/>
      <c r="AL49" s="61"/>
      <c r="AM49" s="60"/>
      <c r="AN49" s="31"/>
      <c r="AO49" s="61"/>
      <c r="AP49" s="60"/>
      <c r="AQ49" s="31"/>
      <c r="AR49" s="61"/>
      <c r="AS49" s="60"/>
      <c r="AT49" s="31"/>
      <c r="AU49" s="61"/>
    </row>
    <row r="50" ht="36.75" customHeight="1">
      <c r="A50" s="62"/>
      <c r="B50" s="156"/>
      <c r="C50" s="105" t="str">
        <f>VLOOKUP(D50,[1]Saldo!A49:B31322,2,0)</f>
        <v>#ERROR!</v>
      </c>
      <c r="D50" s="156" t="s">
        <v>662</v>
      </c>
      <c r="E50" s="156" t="s">
        <v>653</v>
      </c>
      <c r="F50" s="189">
        <v>8.0</v>
      </c>
      <c r="G50" s="191">
        <v>5000.0</v>
      </c>
      <c r="H50" s="190">
        <f>'PAINEL DE CONTROLE'!$J$5</f>
        <v>6544</v>
      </c>
      <c r="I50" s="190">
        <v>0.0</v>
      </c>
      <c r="J50" s="190">
        <f t="shared" si="3"/>
        <v>5000</v>
      </c>
      <c r="K50" s="190">
        <f t="shared" si="4"/>
        <v>-1544</v>
      </c>
      <c r="L50" s="60"/>
      <c r="M50" s="31"/>
      <c r="N50" s="61"/>
      <c r="O50" s="60"/>
      <c r="P50" s="31"/>
      <c r="Q50" s="61"/>
      <c r="R50" s="60"/>
      <c r="S50" s="31"/>
      <c r="T50" s="61"/>
      <c r="U50" s="60"/>
      <c r="V50" s="31"/>
      <c r="W50" s="61"/>
      <c r="X50" s="60"/>
      <c r="Y50" s="31"/>
      <c r="Z50" s="61"/>
      <c r="AA50" s="60"/>
      <c r="AB50" s="31"/>
      <c r="AC50" s="61"/>
      <c r="AD50" s="60"/>
      <c r="AE50" s="31"/>
      <c r="AF50" s="61"/>
      <c r="AG50" s="60"/>
      <c r="AH50" s="31"/>
      <c r="AI50" s="61"/>
      <c r="AJ50" s="60"/>
      <c r="AK50" s="31"/>
      <c r="AL50" s="61"/>
      <c r="AM50" s="60"/>
      <c r="AN50" s="31"/>
      <c r="AO50" s="61"/>
      <c r="AP50" s="60"/>
      <c r="AQ50" s="31"/>
      <c r="AR50" s="61"/>
      <c r="AS50" s="60"/>
      <c r="AT50" s="31"/>
      <c r="AU50" s="61"/>
    </row>
    <row r="51" ht="36.75" customHeight="1">
      <c r="A51" s="62"/>
      <c r="B51" s="156"/>
      <c r="C51" s="105" t="str">
        <f>VLOOKUP(D51,[1]Saldo!A50:B31323,2,0)</f>
        <v>#ERROR!</v>
      </c>
      <c r="D51" s="156" t="s">
        <v>663</v>
      </c>
      <c r="E51" s="156" t="s">
        <v>664</v>
      </c>
      <c r="F51" s="189">
        <v>4.0</v>
      </c>
      <c r="G51" s="191">
        <v>5000.0</v>
      </c>
      <c r="H51" s="190">
        <f>'PAINEL DE CONTROLE'!$J$5</f>
        <v>6544</v>
      </c>
      <c r="I51" s="190">
        <v>0.0</v>
      </c>
      <c r="J51" s="190">
        <f t="shared" si="3"/>
        <v>5000</v>
      </c>
      <c r="K51" s="190">
        <f t="shared" si="4"/>
        <v>-1544</v>
      </c>
      <c r="L51" s="60"/>
      <c r="M51" s="31"/>
      <c r="N51" s="61"/>
      <c r="O51" s="60"/>
      <c r="P51" s="31"/>
      <c r="Q51" s="61"/>
      <c r="R51" s="60"/>
      <c r="S51" s="31"/>
      <c r="T51" s="61"/>
      <c r="U51" s="60"/>
      <c r="V51" s="31"/>
      <c r="W51" s="61"/>
      <c r="X51" s="60"/>
      <c r="Y51" s="31"/>
      <c r="Z51" s="61"/>
      <c r="AA51" s="60"/>
      <c r="AB51" s="31"/>
      <c r="AC51" s="61"/>
      <c r="AD51" s="60"/>
      <c r="AE51" s="31"/>
      <c r="AF51" s="61"/>
      <c r="AG51" s="60"/>
      <c r="AH51" s="31"/>
      <c r="AI51" s="61"/>
      <c r="AJ51" s="60"/>
      <c r="AK51" s="31"/>
      <c r="AL51" s="61"/>
      <c r="AM51" s="60"/>
      <c r="AN51" s="31"/>
      <c r="AO51" s="61"/>
      <c r="AP51" s="60"/>
      <c r="AQ51" s="31"/>
      <c r="AR51" s="61"/>
      <c r="AS51" s="60"/>
      <c r="AT51" s="31"/>
      <c r="AU51" s="61"/>
    </row>
    <row r="52" ht="36.75" customHeight="1">
      <c r="A52" s="62"/>
      <c r="B52" s="156"/>
      <c r="C52" s="105" t="str">
        <f>VLOOKUP(D52,[1]Saldo!A51:B31324,2,0)</f>
        <v>#ERROR!</v>
      </c>
      <c r="D52" s="156" t="s">
        <v>665</v>
      </c>
      <c r="E52" s="156" t="s">
        <v>112</v>
      </c>
      <c r="F52" s="189">
        <v>1.0</v>
      </c>
      <c r="G52" s="191">
        <v>5000.0</v>
      </c>
      <c r="H52" s="190">
        <f>'PAINEL DE CONTROLE'!$J$5</f>
        <v>6544</v>
      </c>
      <c r="I52" s="190">
        <v>0.0</v>
      </c>
      <c r="J52" s="190">
        <f t="shared" si="3"/>
        <v>5000</v>
      </c>
      <c r="K52" s="190">
        <f t="shared" si="4"/>
        <v>-1544</v>
      </c>
      <c r="L52" s="60"/>
      <c r="M52" s="31"/>
      <c r="N52" s="61"/>
      <c r="O52" s="60"/>
      <c r="P52" s="31"/>
      <c r="Q52" s="61"/>
      <c r="R52" s="60"/>
      <c r="S52" s="31"/>
      <c r="T52" s="61"/>
      <c r="U52" s="60"/>
      <c r="V52" s="31"/>
      <c r="W52" s="61"/>
      <c r="X52" s="60"/>
      <c r="Y52" s="31"/>
      <c r="Z52" s="61"/>
      <c r="AA52" s="60"/>
      <c r="AB52" s="31"/>
      <c r="AC52" s="61"/>
      <c r="AD52" s="60"/>
      <c r="AE52" s="31"/>
      <c r="AF52" s="61"/>
      <c r="AG52" s="60"/>
      <c r="AH52" s="31"/>
      <c r="AI52" s="61"/>
      <c r="AJ52" s="60"/>
      <c r="AK52" s="31"/>
      <c r="AL52" s="61"/>
      <c r="AM52" s="60"/>
      <c r="AN52" s="31"/>
      <c r="AO52" s="61"/>
      <c r="AP52" s="60"/>
      <c r="AQ52" s="31"/>
      <c r="AR52" s="61"/>
      <c r="AS52" s="60"/>
      <c r="AT52" s="31"/>
      <c r="AU52" s="61"/>
    </row>
    <row r="53" ht="36.75" customHeight="1">
      <c r="A53" s="63"/>
      <c r="B53" s="156"/>
      <c r="C53" s="105" t="str">
        <f>VLOOKUP(D53,[1]Saldo!A52:B31325,2,0)</f>
        <v>#ERROR!</v>
      </c>
      <c r="D53" s="156" t="s">
        <v>666</v>
      </c>
      <c r="E53" s="156" t="s">
        <v>667</v>
      </c>
      <c r="F53" s="189">
        <v>4.0</v>
      </c>
      <c r="G53" s="191">
        <v>5000.0</v>
      </c>
      <c r="H53" s="190">
        <f>'PAINEL DE CONTROLE'!$J$5</f>
        <v>6544</v>
      </c>
      <c r="I53" s="190">
        <v>0.0</v>
      </c>
      <c r="J53" s="190">
        <f t="shared" si="3"/>
        <v>5000</v>
      </c>
      <c r="K53" s="190">
        <f t="shared" si="4"/>
        <v>-1544</v>
      </c>
      <c r="L53" s="60"/>
      <c r="M53" s="31"/>
      <c r="N53" s="61"/>
      <c r="O53" s="60"/>
      <c r="P53" s="31"/>
      <c r="Q53" s="61"/>
      <c r="R53" s="60"/>
      <c r="S53" s="31"/>
      <c r="T53" s="61"/>
      <c r="U53" s="60"/>
      <c r="V53" s="31"/>
      <c r="W53" s="61"/>
      <c r="X53" s="60"/>
      <c r="Y53" s="31"/>
      <c r="Z53" s="61"/>
      <c r="AA53" s="60"/>
      <c r="AB53" s="31"/>
      <c r="AC53" s="61"/>
      <c r="AD53" s="60"/>
      <c r="AE53" s="31"/>
      <c r="AF53" s="61"/>
      <c r="AG53" s="60"/>
      <c r="AH53" s="31"/>
      <c r="AI53" s="61"/>
      <c r="AJ53" s="60"/>
      <c r="AK53" s="31"/>
      <c r="AL53" s="61"/>
      <c r="AM53" s="60"/>
      <c r="AN53" s="31"/>
      <c r="AO53" s="61"/>
      <c r="AP53" s="60"/>
      <c r="AQ53" s="31"/>
      <c r="AR53" s="61"/>
      <c r="AS53" s="60"/>
      <c r="AT53" s="31"/>
      <c r="AU53" s="61"/>
    </row>
    <row r="54" ht="36.75" customHeight="1">
      <c r="A54" s="147" t="s">
        <v>44</v>
      </c>
      <c r="B54" s="156"/>
      <c r="C54" s="105" t="str">
        <f>VLOOKUP(D54,[1]Saldo!A53:B31326,2,0)</f>
        <v>#ERROR!</v>
      </c>
      <c r="D54" s="156" t="s">
        <v>668</v>
      </c>
      <c r="E54" s="156" t="s">
        <v>669</v>
      </c>
      <c r="F54" s="189">
        <v>6.0</v>
      </c>
      <c r="G54" s="191">
        <v>5000.0</v>
      </c>
      <c r="H54" s="190">
        <f>'PAINEL DE CONTROLE'!$J$5</f>
        <v>6544</v>
      </c>
      <c r="I54" s="190">
        <v>0.0</v>
      </c>
      <c r="J54" s="190">
        <f t="shared" si="3"/>
        <v>5000</v>
      </c>
      <c r="K54" s="190">
        <f t="shared" si="4"/>
        <v>-1544</v>
      </c>
      <c r="L54" s="60"/>
      <c r="M54" s="31"/>
      <c r="N54" s="61"/>
      <c r="O54" s="60"/>
      <c r="P54" s="31"/>
      <c r="Q54" s="61"/>
      <c r="R54" s="60"/>
      <c r="S54" s="31"/>
      <c r="T54" s="61"/>
      <c r="U54" s="60"/>
      <c r="V54" s="31"/>
      <c r="W54" s="61"/>
      <c r="X54" s="60"/>
      <c r="Y54" s="31"/>
      <c r="Z54" s="61"/>
      <c r="AA54" s="60"/>
      <c r="AB54" s="31"/>
      <c r="AC54" s="61"/>
      <c r="AD54" s="60"/>
      <c r="AE54" s="31"/>
      <c r="AF54" s="61"/>
      <c r="AG54" s="60"/>
      <c r="AH54" s="31"/>
      <c r="AI54" s="61"/>
      <c r="AJ54" s="60"/>
      <c r="AK54" s="31"/>
      <c r="AL54" s="61"/>
      <c r="AM54" s="60"/>
      <c r="AN54" s="31"/>
      <c r="AO54" s="61"/>
      <c r="AP54" s="60"/>
      <c r="AQ54" s="31"/>
      <c r="AR54" s="61"/>
      <c r="AS54" s="60"/>
      <c r="AT54" s="31"/>
      <c r="AU54" s="61"/>
    </row>
    <row r="55" ht="36.75" customHeight="1">
      <c r="A55" s="62"/>
      <c r="B55" s="156"/>
      <c r="C55" s="105" t="str">
        <f>VLOOKUP(D55,[1]Saldo!A54:B31327,2,0)</f>
        <v>#ERROR!</v>
      </c>
      <c r="D55" s="156" t="s">
        <v>670</v>
      </c>
      <c r="E55" s="156" t="s">
        <v>634</v>
      </c>
      <c r="F55" s="189">
        <v>1.0</v>
      </c>
      <c r="G55" s="191">
        <v>5000.0</v>
      </c>
      <c r="H55" s="190">
        <f>'PAINEL DE CONTROLE'!$J$5</f>
        <v>6544</v>
      </c>
      <c r="I55" s="190">
        <v>0.0</v>
      </c>
      <c r="J55" s="190">
        <f t="shared" si="3"/>
        <v>5000</v>
      </c>
      <c r="K55" s="190">
        <f t="shared" si="4"/>
        <v>-1544</v>
      </c>
      <c r="L55" s="60"/>
      <c r="M55" s="31"/>
      <c r="N55" s="61"/>
      <c r="O55" s="60"/>
      <c r="P55" s="31"/>
      <c r="Q55" s="61"/>
      <c r="R55" s="60"/>
      <c r="S55" s="31"/>
      <c r="T55" s="61"/>
      <c r="U55" s="60"/>
      <c r="V55" s="31"/>
      <c r="W55" s="61"/>
      <c r="X55" s="60"/>
      <c r="Y55" s="31"/>
      <c r="Z55" s="61"/>
      <c r="AA55" s="60"/>
      <c r="AB55" s="31"/>
      <c r="AC55" s="61"/>
      <c r="AD55" s="60"/>
      <c r="AE55" s="31"/>
      <c r="AF55" s="61"/>
      <c r="AG55" s="60"/>
      <c r="AH55" s="31"/>
      <c r="AI55" s="61"/>
      <c r="AJ55" s="60"/>
      <c r="AK55" s="31"/>
      <c r="AL55" s="61"/>
      <c r="AM55" s="60"/>
      <c r="AN55" s="31"/>
      <c r="AO55" s="61"/>
      <c r="AP55" s="60"/>
      <c r="AQ55" s="31"/>
      <c r="AR55" s="61"/>
      <c r="AS55" s="60"/>
      <c r="AT55" s="31"/>
      <c r="AU55" s="61"/>
    </row>
    <row r="56" ht="36.75" customHeight="1">
      <c r="A56" s="62"/>
      <c r="B56" s="156"/>
      <c r="C56" s="105" t="str">
        <f>VLOOKUP(D56,[1]Saldo!A55:B31328,2,0)</f>
        <v>#ERROR!</v>
      </c>
      <c r="D56" s="156" t="s">
        <v>671</v>
      </c>
      <c r="E56" s="156" t="s">
        <v>672</v>
      </c>
      <c r="F56" s="189">
        <v>1.0</v>
      </c>
      <c r="G56" s="191">
        <v>10000.0</v>
      </c>
      <c r="H56" s="190">
        <f>'PAINEL DE CONTROLE'!$J$5</f>
        <v>6544</v>
      </c>
      <c r="I56" s="190">
        <v>0.0</v>
      </c>
      <c r="J56" s="190">
        <f t="shared" si="3"/>
        <v>10000</v>
      </c>
      <c r="K56" s="190">
        <f t="shared" si="4"/>
        <v>3456</v>
      </c>
      <c r="L56" s="60"/>
      <c r="M56" s="31"/>
      <c r="N56" s="61"/>
      <c r="O56" s="60"/>
      <c r="P56" s="31"/>
      <c r="Q56" s="61"/>
      <c r="R56" s="60"/>
      <c r="S56" s="31"/>
      <c r="T56" s="61"/>
      <c r="U56" s="60"/>
      <c r="V56" s="31"/>
      <c r="W56" s="61"/>
      <c r="X56" s="60"/>
      <c r="Y56" s="31"/>
      <c r="Z56" s="61"/>
      <c r="AA56" s="60"/>
      <c r="AB56" s="31"/>
      <c r="AC56" s="61"/>
      <c r="AD56" s="60"/>
      <c r="AE56" s="31"/>
      <c r="AF56" s="61"/>
      <c r="AG56" s="60"/>
      <c r="AH56" s="31"/>
      <c r="AI56" s="61"/>
      <c r="AJ56" s="60"/>
      <c r="AK56" s="31"/>
      <c r="AL56" s="61"/>
      <c r="AM56" s="60"/>
      <c r="AN56" s="31"/>
      <c r="AO56" s="61"/>
      <c r="AP56" s="60"/>
      <c r="AQ56" s="31"/>
      <c r="AR56" s="61"/>
      <c r="AS56" s="60"/>
      <c r="AT56" s="31"/>
      <c r="AU56" s="61"/>
    </row>
    <row r="57" ht="36.75" customHeight="1">
      <c r="A57" s="62"/>
      <c r="B57" s="156"/>
      <c r="C57" s="192" t="str">
        <f>VLOOKUP(D57,[1]Saldo!A56:B31329,2,0)</f>
        <v>#ERROR!</v>
      </c>
      <c r="D57" s="191" t="s">
        <v>673</v>
      </c>
      <c r="E57" s="156" t="s">
        <v>674</v>
      </c>
      <c r="F57" s="189">
        <v>1.0</v>
      </c>
      <c r="G57" s="191">
        <v>10000.0</v>
      </c>
      <c r="H57" s="190">
        <f>'PAINEL DE CONTROLE'!$J$5</f>
        <v>6544</v>
      </c>
      <c r="I57" s="190">
        <v>0.0</v>
      </c>
      <c r="J57" s="190">
        <f t="shared" si="3"/>
        <v>10000</v>
      </c>
      <c r="K57" s="190">
        <f t="shared" si="4"/>
        <v>3456</v>
      </c>
      <c r="L57" s="60"/>
      <c r="M57" s="31"/>
      <c r="N57" s="61"/>
      <c r="O57" s="60"/>
      <c r="P57" s="31"/>
      <c r="Q57" s="61"/>
      <c r="R57" s="60"/>
      <c r="S57" s="31"/>
      <c r="T57" s="61"/>
      <c r="U57" s="60"/>
      <c r="V57" s="31"/>
      <c r="W57" s="61"/>
      <c r="X57" s="60"/>
      <c r="Y57" s="31"/>
      <c r="Z57" s="61"/>
      <c r="AA57" s="60"/>
      <c r="AB57" s="31"/>
      <c r="AC57" s="61"/>
      <c r="AD57" s="60"/>
      <c r="AE57" s="31"/>
      <c r="AF57" s="61"/>
      <c r="AG57" s="60"/>
      <c r="AH57" s="31"/>
      <c r="AI57" s="61"/>
      <c r="AJ57" s="60"/>
      <c r="AK57" s="31"/>
      <c r="AL57" s="61"/>
      <c r="AM57" s="60"/>
      <c r="AN57" s="31"/>
      <c r="AO57" s="61"/>
      <c r="AP57" s="60"/>
      <c r="AQ57" s="31"/>
      <c r="AR57" s="61"/>
      <c r="AS57" s="60"/>
      <c r="AT57" s="31"/>
      <c r="AU57" s="61"/>
    </row>
    <row r="58" ht="36.75" customHeight="1">
      <c r="A58" s="63"/>
      <c r="B58" s="156"/>
      <c r="C58" s="192" t="str">
        <f>VLOOKUP(D58,[1]Saldo!A57:B31330,2,0)</f>
        <v>#ERROR!</v>
      </c>
      <c r="D58" s="191" t="s">
        <v>675</v>
      </c>
      <c r="E58" s="156" t="s">
        <v>676</v>
      </c>
      <c r="F58" s="189">
        <v>1.0</v>
      </c>
      <c r="G58" s="191">
        <v>12000.0</v>
      </c>
      <c r="H58" s="190">
        <f>'PAINEL DE CONTROLE'!$J$5</f>
        <v>6544</v>
      </c>
      <c r="I58" s="190">
        <v>0.0</v>
      </c>
      <c r="J58" s="190">
        <f t="shared" si="3"/>
        <v>12000</v>
      </c>
      <c r="K58" s="190">
        <f t="shared" si="4"/>
        <v>5456</v>
      </c>
      <c r="L58" s="60"/>
      <c r="M58" s="31"/>
      <c r="N58" s="61"/>
      <c r="O58" s="60"/>
      <c r="P58" s="31"/>
      <c r="Q58" s="61"/>
      <c r="R58" s="60"/>
      <c r="S58" s="31"/>
      <c r="T58" s="61"/>
      <c r="U58" s="60"/>
      <c r="V58" s="31"/>
      <c r="W58" s="61"/>
      <c r="X58" s="60"/>
      <c r="Y58" s="31"/>
      <c r="Z58" s="61"/>
      <c r="AA58" s="60"/>
      <c r="AB58" s="31"/>
      <c r="AC58" s="61"/>
      <c r="AD58" s="60"/>
      <c r="AE58" s="31"/>
      <c r="AF58" s="61"/>
      <c r="AG58" s="60"/>
      <c r="AH58" s="31"/>
      <c r="AI58" s="61"/>
      <c r="AJ58" s="60"/>
      <c r="AK58" s="31"/>
      <c r="AL58" s="61"/>
      <c r="AM58" s="60"/>
      <c r="AN58" s="31"/>
      <c r="AO58" s="61"/>
      <c r="AP58" s="60"/>
      <c r="AQ58" s="31"/>
      <c r="AR58" s="61"/>
      <c r="AS58" s="60"/>
      <c r="AT58" s="31"/>
      <c r="AU58" s="61"/>
    </row>
    <row r="59" ht="36.75" customHeight="1">
      <c r="A59" s="147" t="s">
        <v>677</v>
      </c>
      <c r="B59" s="193">
        <v>41.0</v>
      </c>
      <c r="C59" s="192" t="s">
        <v>678</v>
      </c>
      <c r="D59" s="191" t="s">
        <v>679</v>
      </c>
      <c r="E59" s="156" t="s">
        <v>680</v>
      </c>
      <c r="F59" s="189">
        <v>48.0</v>
      </c>
      <c r="G59" s="191">
        <v>1000.0</v>
      </c>
      <c r="H59" s="190">
        <f>'PAINEL DE CONTROLE'!$J$5</f>
        <v>6544</v>
      </c>
      <c r="I59" s="190">
        <v>1098.0</v>
      </c>
      <c r="J59" s="190">
        <f t="shared" si="3"/>
        <v>2098</v>
      </c>
      <c r="K59" s="190">
        <f t="shared" si="4"/>
        <v>-4446</v>
      </c>
      <c r="L59" s="60"/>
      <c r="M59" s="31"/>
      <c r="N59" s="61"/>
      <c r="O59" s="60"/>
      <c r="P59" s="31"/>
      <c r="Q59" s="61"/>
      <c r="R59" s="60"/>
      <c r="S59" s="31"/>
      <c r="T59" s="61"/>
      <c r="U59" s="60"/>
      <c r="V59" s="31"/>
      <c r="W59" s="61"/>
      <c r="X59" s="60"/>
      <c r="Y59" s="31"/>
      <c r="Z59" s="61"/>
      <c r="AA59" s="60"/>
      <c r="AB59" s="31"/>
      <c r="AC59" s="61"/>
      <c r="AD59" s="60"/>
      <c r="AE59" s="31"/>
      <c r="AF59" s="61"/>
      <c r="AG59" s="60"/>
      <c r="AH59" s="31"/>
      <c r="AI59" s="61"/>
      <c r="AJ59" s="60"/>
      <c r="AK59" s="31"/>
      <c r="AL59" s="61"/>
      <c r="AM59" s="60"/>
      <c r="AN59" s="31"/>
      <c r="AO59" s="61"/>
      <c r="AP59" s="60"/>
      <c r="AQ59" s="31"/>
      <c r="AR59" s="61"/>
      <c r="AS59" s="60"/>
      <c r="AT59" s="31"/>
      <c r="AU59" s="61"/>
    </row>
    <row r="60" ht="36.75" customHeight="1">
      <c r="A60" s="62"/>
      <c r="B60" s="193">
        <v>41.0</v>
      </c>
      <c r="C60" s="192" t="s">
        <v>681</v>
      </c>
      <c r="D60" s="191" t="s">
        <v>682</v>
      </c>
      <c r="E60" s="156" t="s">
        <v>683</v>
      </c>
      <c r="F60" s="189">
        <v>48.0</v>
      </c>
      <c r="G60" s="191">
        <v>1000.0</v>
      </c>
      <c r="H60" s="190">
        <f>'PAINEL DE CONTROLE'!$J$5</f>
        <v>6544</v>
      </c>
      <c r="I60" s="190">
        <v>1098.0</v>
      </c>
      <c r="J60" s="190">
        <f t="shared" si="3"/>
        <v>2098</v>
      </c>
      <c r="K60" s="190">
        <f t="shared" si="4"/>
        <v>-4446</v>
      </c>
      <c r="L60" s="60"/>
      <c r="M60" s="31"/>
      <c r="N60" s="61"/>
      <c r="O60" s="60"/>
      <c r="P60" s="31"/>
      <c r="Q60" s="61"/>
      <c r="R60" s="60"/>
      <c r="S60" s="31"/>
      <c r="T60" s="61"/>
      <c r="U60" s="60"/>
      <c r="V60" s="31"/>
      <c r="W60" s="61"/>
      <c r="X60" s="60"/>
      <c r="Y60" s="31"/>
      <c r="Z60" s="61"/>
      <c r="AA60" s="60"/>
      <c r="AB60" s="31"/>
      <c r="AC60" s="61"/>
      <c r="AD60" s="60"/>
      <c r="AE60" s="31"/>
      <c r="AF60" s="61"/>
      <c r="AG60" s="60"/>
      <c r="AH60" s="31"/>
      <c r="AI60" s="61"/>
      <c r="AJ60" s="60"/>
      <c r="AK60" s="31"/>
      <c r="AL60" s="61"/>
      <c r="AM60" s="60"/>
      <c r="AN60" s="31"/>
      <c r="AO60" s="61"/>
      <c r="AP60" s="60"/>
      <c r="AQ60" s="31"/>
      <c r="AR60" s="61"/>
      <c r="AS60" s="60"/>
      <c r="AT60" s="31"/>
      <c r="AU60" s="61"/>
    </row>
    <row r="61" ht="36.75" customHeight="1">
      <c r="A61" s="62"/>
      <c r="B61" s="193">
        <v>41.0</v>
      </c>
      <c r="C61" s="192" t="s">
        <v>684</v>
      </c>
      <c r="D61" s="191" t="s">
        <v>685</v>
      </c>
      <c r="E61" s="156" t="s">
        <v>686</v>
      </c>
      <c r="F61" s="189">
        <v>1.0</v>
      </c>
      <c r="G61" s="191">
        <v>1000.0</v>
      </c>
      <c r="H61" s="190">
        <f>'PAINEL DE CONTROLE'!$J$5</f>
        <v>6544</v>
      </c>
      <c r="I61" s="190">
        <v>0.0</v>
      </c>
      <c r="J61" s="190">
        <f t="shared" si="3"/>
        <v>1000</v>
      </c>
      <c r="K61" s="190">
        <f t="shared" si="4"/>
        <v>-5544</v>
      </c>
      <c r="L61" s="60"/>
      <c r="M61" s="31"/>
      <c r="N61" s="61"/>
      <c r="O61" s="60"/>
      <c r="P61" s="31"/>
      <c r="Q61" s="61"/>
      <c r="R61" s="60"/>
      <c r="S61" s="31"/>
      <c r="T61" s="61"/>
      <c r="U61" s="60"/>
      <c r="V61" s="31"/>
      <c r="W61" s="61"/>
      <c r="X61" s="60"/>
      <c r="Y61" s="31"/>
      <c r="Z61" s="61"/>
      <c r="AA61" s="60"/>
      <c r="AB61" s="31"/>
      <c r="AC61" s="61"/>
      <c r="AD61" s="60"/>
      <c r="AE61" s="31"/>
      <c r="AF61" s="61"/>
      <c r="AG61" s="60"/>
      <c r="AH61" s="31"/>
      <c r="AI61" s="61"/>
      <c r="AJ61" s="60"/>
      <c r="AK61" s="31"/>
      <c r="AL61" s="61"/>
      <c r="AM61" s="60"/>
      <c r="AN61" s="31"/>
      <c r="AO61" s="61"/>
      <c r="AP61" s="60"/>
      <c r="AQ61" s="31"/>
      <c r="AR61" s="61"/>
      <c r="AS61" s="60"/>
      <c r="AT61" s="31"/>
      <c r="AU61" s="61"/>
    </row>
    <row r="62" ht="36.75" customHeight="1">
      <c r="A62" s="63"/>
      <c r="B62" s="193">
        <v>41.0</v>
      </c>
      <c r="C62" s="192" t="s">
        <v>687</v>
      </c>
      <c r="D62" s="191" t="s">
        <v>688</v>
      </c>
      <c r="E62" s="156" t="s">
        <v>689</v>
      </c>
      <c r="F62" s="189">
        <v>1.0</v>
      </c>
      <c r="G62" s="191">
        <v>1000.0</v>
      </c>
      <c r="H62" s="190">
        <f>'PAINEL DE CONTROLE'!$J$5</f>
        <v>6544</v>
      </c>
      <c r="I62" s="190">
        <v>0.0</v>
      </c>
      <c r="J62" s="190">
        <f t="shared" si="3"/>
        <v>1000</v>
      </c>
      <c r="K62" s="190">
        <f t="shared" si="4"/>
        <v>-5544</v>
      </c>
      <c r="L62" s="60"/>
      <c r="M62" s="31"/>
      <c r="N62" s="61"/>
      <c r="O62" s="60"/>
      <c r="P62" s="31"/>
      <c r="Q62" s="61"/>
      <c r="R62" s="60"/>
      <c r="S62" s="31"/>
      <c r="T62" s="61"/>
      <c r="U62" s="60"/>
      <c r="V62" s="31"/>
      <c r="W62" s="61"/>
      <c r="X62" s="60"/>
      <c r="Y62" s="31"/>
      <c r="Z62" s="61"/>
      <c r="AA62" s="60"/>
      <c r="AB62" s="31"/>
      <c r="AC62" s="61"/>
      <c r="AD62" s="60"/>
      <c r="AE62" s="31"/>
      <c r="AF62" s="61"/>
      <c r="AG62" s="60"/>
      <c r="AH62" s="31"/>
      <c r="AI62" s="61"/>
      <c r="AJ62" s="60"/>
      <c r="AK62" s="31"/>
      <c r="AL62" s="61"/>
      <c r="AM62" s="60"/>
      <c r="AN62" s="31"/>
      <c r="AO62" s="61"/>
      <c r="AP62" s="60"/>
      <c r="AQ62" s="31"/>
      <c r="AR62" s="61"/>
      <c r="AS62" s="60"/>
      <c r="AT62" s="31"/>
      <c r="AU62" s="61"/>
    </row>
    <row r="63" ht="36.75" customHeight="1">
      <c r="A63" s="147" t="s">
        <v>690</v>
      </c>
      <c r="B63" s="193">
        <v>41.0</v>
      </c>
      <c r="C63" s="192" t="s">
        <v>691</v>
      </c>
      <c r="D63" s="191" t="s">
        <v>692</v>
      </c>
      <c r="E63" s="156" t="s">
        <v>693</v>
      </c>
      <c r="F63" s="189">
        <v>2.0</v>
      </c>
      <c r="G63" s="191">
        <v>1000.0</v>
      </c>
      <c r="H63" s="190">
        <f>'PAINEL DE CONTROLE'!$J$5</f>
        <v>6544</v>
      </c>
      <c r="I63" s="190">
        <v>0.0</v>
      </c>
      <c r="J63" s="190">
        <f t="shared" si="3"/>
        <v>1000</v>
      </c>
      <c r="K63" s="190">
        <f t="shared" si="4"/>
        <v>-5544</v>
      </c>
      <c r="L63" s="60"/>
      <c r="M63" s="31"/>
      <c r="N63" s="61"/>
      <c r="O63" s="60"/>
      <c r="P63" s="31"/>
      <c r="Q63" s="61"/>
      <c r="R63" s="60"/>
      <c r="S63" s="31"/>
      <c r="T63" s="61"/>
      <c r="U63" s="60"/>
      <c r="V63" s="31"/>
      <c r="W63" s="61"/>
      <c r="X63" s="60"/>
      <c r="Y63" s="31"/>
      <c r="Z63" s="61"/>
      <c r="AA63" s="60"/>
      <c r="AB63" s="31"/>
      <c r="AC63" s="61"/>
      <c r="AD63" s="60"/>
      <c r="AE63" s="31"/>
      <c r="AF63" s="61"/>
      <c r="AG63" s="60"/>
      <c r="AH63" s="31"/>
      <c r="AI63" s="61"/>
      <c r="AJ63" s="60"/>
      <c r="AK63" s="31"/>
      <c r="AL63" s="61"/>
      <c r="AM63" s="60"/>
      <c r="AN63" s="31"/>
      <c r="AO63" s="61"/>
      <c r="AP63" s="60"/>
      <c r="AQ63" s="31"/>
      <c r="AR63" s="61"/>
      <c r="AS63" s="60"/>
      <c r="AT63" s="31"/>
      <c r="AU63" s="61"/>
    </row>
    <row r="64" ht="36.75" customHeight="1">
      <c r="A64" s="62"/>
      <c r="B64" s="156"/>
      <c r="C64" s="192" t="s">
        <v>694</v>
      </c>
      <c r="D64" s="191" t="s">
        <v>695</v>
      </c>
      <c r="E64" s="156" t="s">
        <v>696</v>
      </c>
      <c r="F64" s="189">
        <v>2.0</v>
      </c>
      <c r="G64" s="191">
        <v>2000.0</v>
      </c>
      <c r="H64" s="190">
        <f>'PAINEL DE CONTROLE'!$J$5</f>
        <v>6544</v>
      </c>
      <c r="I64" s="190">
        <v>0.0</v>
      </c>
      <c r="J64" s="190">
        <f t="shared" si="3"/>
        <v>2000</v>
      </c>
      <c r="K64" s="190">
        <f t="shared" si="4"/>
        <v>-4544</v>
      </c>
      <c r="L64" s="60"/>
      <c r="M64" s="31"/>
      <c r="N64" s="61"/>
      <c r="O64" s="60"/>
      <c r="P64" s="31"/>
      <c r="Q64" s="61"/>
      <c r="R64" s="60"/>
      <c r="S64" s="31"/>
      <c r="T64" s="61"/>
      <c r="U64" s="60"/>
      <c r="V64" s="31"/>
      <c r="W64" s="61"/>
      <c r="X64" s="60"/>
      <c r="Y64" s="31"/>
      <c r="Z64" s="61"/>
      <c r="AA64" s="60"/>
      <c r="AB64" s="31"/>
      <c r="AC64" s="61"/>
      <c r="AD64" s="60"/>
      <c r="AE64" s="31"/>
      <c r="AF64" s="61"/>
      <c r="AG64" s="60"/>
      <c r="AH64" s="31"/>
      <c r="AI64" s="61"/>
      <c r="AJ64" s="60"/>
      <c r="AK64" s="31"/>
      <c r="AL64" s="61"/>
      <c r="AM64" s="60"/>
      <c r="AN64" s="31"/>
      <c r="AO64" s="61"/>
      <c r="AP64" s="60"/>
      <c r="AQ64" s="31"/>
      <c r="AR64" s="61"/>
      <c r="AS64" s="60"/>
      <c r="AT64" s="31"/>
      <c r="AU64" s="61"/>
    </row>
    <row r="65" ht="36.75" customHeight="1">
      <c r="A65" s="63"/>
      <c r="B65" s="193">
        <v>41.0</v>
      </c>
      <c r="C65" s="105" t="s">
        <v>697</v>
      </c>
      <c r="D65" s="156" t="s">
        <v>698</v>
      </c>
      <c r="E65" s="156" t="s">
        <v>699</v>
      </c>
      <c r="F65" s="189">
        <v>8.0</v>
      </c>
      <c r="G65" s="191">
        <v>1000.0</v>
      </c>
      <c r="H65" s="190">
        <f>'PAINEL DE CONTROLE'!$J$5</f>
        <v>6544</v>
      </c>
      <c r="I65" s="190">
        <v>0.0</v>
      </c>
      <c r="J65" s="190">
        <f t="shared" si="3"/>
        <v>1000</v>
      </c>
      <c r="K65" s="190">
        <f t="shared" si="4"/>
        <v>-5544</v>
      </c>
      <c r="L65" s="60"/>
      <c r="M65" s="31"/>
      <c r="N65" s="61"/>
      <c r="O65" s="60"/>
      <c r="P65" s="31"/>
      <c r="Q65" s="61"/>
      <c r="R65" s="60"/>
      <c r="S65" s="31"/>
      <c r="T65" s="61"/>
      <c r="U65" s="60"/>
      <c r="V65" s="31"/>
      <c r="W65" s="61"/>
      <c r="X65" s="60"/>
      <c r="Y65" s="31"/>
      <c r="Z65" s="61"/>
      <c r="AA65" s="60"/>
      <c r="AB65" s="31"/>
      <c r="AC65" s="61"/>
      <c r="AD65" s="60"/>
      <c r="AE65" s="31"/>
      <c r="AF65" s="61"/>
      <c r="AG65" s="60"/>
      <c r="AH65" s="31"/>
      <c r="AI65" s="61"/>
      <c r="AJ65" s="60"/>
      <c r="AK65" s="31"/>
      <c r="AL65" s="61"/>
      <c r="AM65" s="60"/>
      <c r="AN65" s="31"/>
      <c r="AO65" s="61"/>
      <c r="AP65" s="60"/>
      <c r="AQ65" s="31"/>
      <c r="AR65" s="61"/>
      <c r="AS65" s="60"/>
      <c r="AT65" s="31"/>
      <c r="AU65" s="61"/>
    </row>
    <row r="66" ht="36.75" customHeight="1">
      <c r="A66" s="147" t="s">
        <v>47</v>
      </c>
      <c r="B66" s="156"/>
      <c r="C66" s="105" t="str">
        <f>VLOOKUP(D66,[1]Saldo!A65:B31338,2,0)</f>
        <v>#ERROR!</v>
      </c>
      <c r="D66" s="156" t="s">
        <v>700</v>
      </c>
      <c r="E66" s="156" t="s">
        <v>680</v>
      </c>
      <c r="F66" s="189">
        <v>2.0</v>
      </c>
      <c r="G66" s="191">
        <v>2000.0</v>
      </c>
      <c r="H66" s="190">
        <f>'PAINEL DE CONTROLE'!$J$5</f>
        <v>6544</v>
      </c>
      <c r="I66" s="190">
        <v>0.0</v>
      </c>
      <c r="J66" s="190">
        <f t="shared" si="3"/>
        <v>2000</v>
      </c>
      <c r="K66" s="190">
        <f t="shared" si="4"/>
        <v>-4544</v>
      </c>
      <c r="L66" s="60"/>
      <c r="M66" s="31"/>
      <c r="N66" s="61"/>
      <c r="O66" s="60"/>
      <c r="P66" s="31"/>
      <c r="Q66" s="61"/>
      <c r="R66" s="60"/>
      <c r="S66" s="31"/>
      <c r="T66" s="61"/>
      <c r="U66" s="60"/>
      <c r="V66" s="31"/>
      <c r="W66" s="61"/>
      <c r="X66" s="60"/>
      <c r="Y66" s="31"/>
      <c r="Z66" s="61"/>
      <c r="AA66" s="60"/>
      <c r="AB66" s="31"/>
      <c r="AC66" s="61"/>
      <c r="AD66" s="60"/>
      <c r="AE66" s="31"/>
      <c r="AF66" s="61"/>
      <c r="AG66" s="60"/>
      <c r="AH66" s="31"/>
      <c r="AI66" s="61"/>
      <c r="AJ66" s="60"/>
      <c r="AK66" s="31"/>
      <c r="AL66" s="61"/>
      <c r="AM66" s="60"/>
      <c r="AN66" s="31"/>
      <c r="AO66" s="61"/>
      <c r="AP66" s="60"/>
      <c r="AQ66" s="31"/>
      <c r="AR66" s="61"/>
      <c r="AS66" s="60"/>
      <c r="AT66" s="31"/>
      <c r="AU66" s="61"/>
    </row>
    <row r="67" ht="36.75" customHeight="1">
      <c r="A67" s="63"/>
      <c r="B67" s="156"/>
      <c r="C67" s="105" t="str">
        <f>VLOOKUP(D67,[1]Saldo!A66:B31339,2,0)</f>
        <v>#ERROR!</v>
      </c>
      <c r="D67" s="156" t="s">
        <v>701</v>
      </c>
      <c r="E67" s="156" t="s">
        <v>702</v>
      </c>
      <c r="F67" s="189">
        <v>1.0</v>
      </c>
      <c r="G67" s="191">
        <v>2000.0</v>
      </c>
      <c r="H67" s="190">
        <f>'PAINEL DE CONTROLE'!$J$5</f>
        <v>6544</v>
      </c>
      <c r="I67" s="190">
        <v>1098.0</v>
      </c>
      <c r="J67" s="190">
        <f t="shared" si="3"/>
        <v>3098</v>
      </c>
      <c r="K67" s="190">
        <f t="shared" si="4"/>
        <v>-3446</v>
      </c>
      <c r="L67" s="60"/>
      <c r="M67" s="31"/>
      <c r="N67" s="61"/>
      <c r="O67" s="60"/>
      <c r="P67" s="31"/>
      <c r="Q67" s="61"/>
      <c r="R67" s="60"/>
      <c r="S67" s="31"/>
      <c r="T67" s="61"/>
      <c r="U67" s="60"/>
      <c r="V67" s="31"/>
      <c r="W67" s="61"/>
      <c r="X67" s="60"/>
      <c r="Y67" s="31"/>
      <c r="Z67" s="61"/>
      <c r="AA67" s="60"/>
      <c r="AB67" s="31"/>
      <c r="AC67" s="61"/>
      <c r="AD67" s="60"/>
      <c r="AE67" s="31"/>
      <c r="AF67" s="61"/>
      <c r="AG67" s="60"/>
      <c r="AH67" s="31"/>
      <c r="AI67" s="61"/>
      <c r="AJ67" s="60"/>
      <c r="AK67" s="31"/>
      <c r="AL67" s="61"/>
      <c r="AM67" s="60"/>
      <c r="AN67" s="31"/>
      <c r="AO67" s="61"/>
      <c r="AP67" s="60"/>
      <c r="AQ67" s="31"/>
      <c r="AR67" s="61"/>
      <c r="AS67" s="60"/>
      <c r="AT67" s="31"/>
      <c r="AU67" s="61"/>
    </row>
    <row r="68" ht="36.75" customHeight="1">
      <c r="A68" s="147" t="s">
        <v>48</v>
      </c>
      <c r="B68" s="156"/>
      <c r="C68" s="105" t="str">
        <f>VLOOKUP(D68,[1]Saldo!A67:B31340,2,0)</f>
        <v>#ERROR!</v>
      </c>
      <c r="D68" s="156" t="s">
        <v>703</v>
      </c>
      <c r="E68" s="156" t="s">
        <v>704</v>
      </c>
      <c r="F68" s="189">
        <v>4.0</v>
      </c>
      <c r="G68" s="191">
        <v>2000.0</v>
      </c>
      <c r="H68" s="190">
        <f>'PAINEL DE CONTROLE'!$J$5</f>
        <v>6544</v>
      </c>
      <c r="I68" s="190">
        <v>0.0</v>
      </c>
      <c r="J68" s="190">
        <f t="shared" si="3"/>
        <v>2000</v>
      </c>
      <c r="K68" s="190">
        <f t="shared" si="4"/>
        <v>-4544</v>
      </c>
      <c r="L68" s="60"/>
      <c r="M68" s="31"/>
      <c r="N68" s="61"/>
      <c r="O68" s="60"/>
      <c r="P68" s="31"/>
      <c r="Q68" s="61"/>
      <c r="R68" s="60"/>
      <c r="S68" s="31"/>
      <c r="T68" s="61"/>
      <c r="U68" s="60"/>
      <c r="V68" s="31"/>
      <c r="W68" s="61"/>
      <c r="X68" s="60"/>
      <c r="Y68" s="31"/>
      <c r="Z68" s="61"/>
      <c r="AA68" s="60"/>
      <c r="AB68" s="31"/>
      <c r="AC68" s="61"/>
      <c r="AD68" s="60"/>
      <c r="AE68" s="31"/>
      <c r="AF68" s="61"/>
      <c r="AG68" s="60"/>
      <c r="AH68" s="31"/>
      <c r="AI68" s="61"/>
      <c r="AJ68" s="60"/>
      <c r="AK68" s="31"/>
      <c r="AL68" s="61"/>
      <c r="AM68" s="60"/>
      <c r="AN68" s="31"/>
      <c r="AO68" s="61"/>
      <c r="AP68" s="60"/>
      <c r="AQ68" s="31"/>
      <c r="AR68" s="61"/>
      <c r="AS68" s="60"/>
      <c r="AT68" s="31"/>
      <c r="AU68" s="61"/>
    </row>
    <row r="69" ht="36.75" customHeight="1">
      <c r="A69" s="62"/>
      <c r="B69" s="156"/>
      <c r="C69" s="105" t="str">
        <f>VLOOKUP(D69,[1]Saldo!A68:B31341,2,0)</f>
        <v>#ERROR!</v>
      </c>
      <c r="D69" s="156" t="s">
        <v>705</v>
      </c>
      <c r="E69" s="156" t="s">
        <v>704</v>
      </c>
      <c r="F69" s="189">
        <v>4.0</v>
      </c>
      <c r="G69" s="191">
        <v>2000.0</v>
      </c>
      <c r="H69" s="190">
        <f>'PAINEL DE CONTROLE'!$J$5</f>
        <v>6544</v>
      </c>
      <c r="I69" s="190">
        <v>0.0</v>
      </c>
      <c r="J69" s="190">
        <f t="shared" si="3"/>
        <v>2000</v>
      </c>
      <c r="K69" s="190">
        <f t="shared" si="4"/>
        <v>-4544</v>
      </c>
      <c r="L69" s="60"/>
      <c r="M69" s="31"/>
      <c r="N69" s="61"/>
      <c r="O69" s="60"/>
      <c r="P69" s="31"/>
      <c r="Q69" s="61"/>
      <c r="R69" s="60"/>
      <c r="S69" s="31"/>
      <c r="T69" s="61"/>
      <c r="U69" s="60"/>
      <c r="V69" s="31"/>
      <c r="W69" s="61"/>
      <c r="X69" s="60"/>
      <c r="Y69" s="31"/>
      <c r="Z69" s="61"/>
      <c r="AA69" s="60"/>
      <c r="AB69" s="31"/>
      <c r="AC69" s="61"/>
      <c r="AD69" s="60"/>
      <c r="AE69" s="31"/>
      <c r="AF69" s="61"/>
      <c r="AG69" s="60"/>
      <c r="AH69" s="31"/>
      <c r="AI69" s="61"/>
      <c r="AJ69" s="60"/>
      <c r="AK69" s="31"/>
      <c r="AL69" s="61"/>
      <c r="AM69" s="60"/>
      <c r="AN69" s="31"/>
      <c r="AO69" s="61"/>
      <c r="AP69" s="60"/>
      <c r="AQ69" s="31"/>
      <c r="AR69" s="61"/>
      <c r="AS69" s="60"/>
      <c r="AT69" s="31"/>
      <c r="AU69" s="61"/>
    </row>
    <row r="70" ht="36.75" customHeight="1">
      <c r="A70" s="62"/>
      <c r="B70" s="156"/>
      <c r="C70" s="105" t="str">
        <f>VLOOKUP(D70,[1]Saldo!A69:B31342,2,0)</f>
        <v>#ERROR!</v>
      </c>
      <c r="D70" s="156" t="s">
        <v>706</v>
      </c>
      <c r="E70" s="156" t="s">
        <v>704</v>
      </c>
      <c r="F70" s="189">
        <v>4.0</v>
      </c>
      <c r="G70" s="191">
        <v>2000.0</v>
      </c>
      <c r="H70" s="190">
        <f>'PAINEL DE CONTROLE'!$J$5</f>
        <v>6544</v>
      </c>
      <c r="I70" s="190">
        <v>0.0</v>
      </c>
      <c r="J70" s="190">
        <f t="shared" si="3"/>
        <v>2000</v>
      </c>
      <c r="K70" s="190">
        <f t="shared" si="4"/>
        <v>-4544</v>
      </c>
      <c r="L70" s="60"/>
      <c r="M70" s="31"/>
      <c r="N70" s="61"/>
      <c r="O70" s="60"/>
      <c r="P70" s="31"/>
      <c r="Q70" s="61"/>
      <c r="R70" s="60"/>
      <c r="S70" s="31"/>
      <c r="T70" s="61"/>
      <c r="U70" s="60"/>
      <c r="V70" s="31"/>
      <c r="W70" s="61"/>
      <c r="X70" s="60"/>
      <c r="Y70" s="31"/>
      <c r="Z70" s="61"/>
      <c r="AA70" s="60"/>
      <c r="AB70" s="31"/>
      <c r="AC70" s="61"/>
      <c r="AD70" s="60"/>
      <c r="AE70" s="31"/>
      <c r="AF70" s="61"/>
      <c r="AG70" s="60"/>
      <c r="AH70" s="31"/>
      <c r="AI70" s="61"/>
      <c r="AJ70" s="60"/>
      <c r="AK70" s="31"/>
      <c r="AL70" s="61"/>
      <c r="AM70" s="60"/>
      <c r="AN70" s="31"/>
      <c r="AO70" s="61"/>
      <c r="AP70" s="60"/>
      <c r="AQ70" s="31"/>
      <c r="AR70" s="61"/>
      <c r="AS70" s="60"/>
      <c r="AT70" s="31"/>
      <c r="AU70" s="61"/>
    </row>
    <row r="71" ht="36.75" customHeight="1">
      <c r="A71" s="62"/>
      <c r="B71" s="156"/>
      <c r="C71" s="105" t="str">
        <f>VLOOKUP(D71,[1]Saldo!A70:B31343,2,0)</f>
        <v>#ERROR!</v>
      </c>
      <c r="D71" s="156" t="s">
        <v>707</v>
      </c>
      <c r="E71" s="156" t="s">
        <v>704</v>
      </c>
      <c r="F71" s="189">
        <v>4.0</v>
      </c>
      <c r="G71" s="191">
        <v>2000.0</v>
      </c>
      <c r="H71" s="190">
        <f>'PAINEL DE CONTROLE'!$J$5</f>
        <v>6544</v>
      </c>
      <c r="I71" s="190">
        <v>0.0</v>
      </c>
      <c r="J71" s="190">
        <f t="shared" si="3"/>
        <v>2000</v>
      </c>
      <c r="K71" s="190">
        <f t="shared" si="4"/>
        <v>-4544</v>
      </c>
      <c r="L71" s="60"/>
      <c r="M71" s="31"/>
      <c r="N71" s="61"/>
      <c r="O71" s="60"/>
      <c r="P71" s="31"/>
      <c r="Q71" s="61"/>
      <c r="R71" s="60"/>
      <c r="S71" s="31"/>
      <c r="T71" s="61"/>
      <c r="U71" s="60"/>
      <c r="V71" s="31"/>
      <c r="W71" s="61"/>
      <c r="X71" s="60"/>
      <c r="Y71" s="31"/>
      <c r="Z71" s="61"/>
      <c r="AA71" s="60"/>
      <c r="AB71" s="31"/>
      <c r="AC71" s="61"/>
      <c r="AD71" s="60"/>
      <c r="AE71" s="31"/>
      <c r="AF71" s="61"/>
      <c r="AG71" s="60"/>
      <c r="AH71" s="31"/>
      <c r="AI71" s="61"/>
      <c r="AJ71" s="60"/>
      <c r="AK71" s="31"/>
      <c r="AL71" s="61"/>
      <c r="AM71" s="60"/>
      <c r="AN71" s="31"/>
      <c r="AO71" s="61"/>
      <c r="AP71" s="60"/>
      <c r="AQ71" s="31"/>
      <c r="AR71" s="61"/>
      <c r="AS71" s="60"/>
      <c r="AT71" s="31"/>
      <c r="AU71" s="61"/>
    </row>
    <row r="72" ht="36.75" customHeight="1">
      <c r="A72" s="62"/>
      <c r="B72" s="156"/>
      <c r="C72" s="105" t="str">
        <f>VLOOKUP(D72,[1]Saldo!A71:B31344,2,0)</f>
        <v>#ERROR!</v>
      </c>
      <c r="D72" s="156" t="s">
        <v>708</v>
      </c>
      <c r="E72" s="156" t="s">
        <v>704</v>
      </c>
      <c r="F72" s="189">
        <v>4.0</v>
      </c>
      <c r="G72" s="191">
        <v>2000.0</v>
      </c>
      <c r="H72" s="190">
        <f>'PAINEL DE CONTROLE'!$J$5</f>
        <v>6544</v>
      </c>
      <c r="I72" s="190">
        <v>0.0</v>
      </c>
      <c r="J72" s="190">
        <f t="shared" si="3"/>
        <v>2000</v>
      </c>
      <c r="K72" s="190">
        <f t="shared" si="4"/>
        <v>-4544</v>
      </c>
      <c r="L72" s="60"/>
      <c r="M72" s="31"/>
      <c r="N72" s="61"/>
      <c r="O72" s="60"/>
      <c r="P72" s="31"/>
      <c r="Q72" s="61"/>
      <c r="R72" s="60"/>
      <c r="S72" s="31"/>
      <c r="T72" s="61"/>
      <c r="U72" s="60"/>
      <c r="V72" s="31"/>
      <c r="W72" s="61"/>
      <c r="X72" s="60"/>
      <c r="Y72" s="31"/>
      <c r="Z72" s="61"/>
      <c r="AA72" s="60"/>
      <c r="AB72" s="31"/>
      <c r="AC72" s="61"/>
      <c r="AD72" s="60"/>
      <c r="AE72" s="31"/>
      <c r="AF72" s="61"/>
      <c r="AG72" s="60"/>
      <c r="AH72" s="31"/>
      <c r="AI72" s="61"/>
      <c r="AJ72" s="60"/>
      <c r="AK72" s="31"/>
      <c r="AL72" s="61"/>
      <c r="AM72" s="60"/>
      <c r="AN72" s="31"/>
      <c r="AO72" s="61"/>
      <c r="AP72" s="60"/>
      <c r="AQ72" s="31"/>
      <c r="AR72" s="61"/>
      <c r="AS72" s="60"/>
      <c r="AT72" s="31"/>
      <c r="AU72" s="61"/>
    </row>
    <row r="73" ht="36.75" customHeight="1">
      <c r="A73" s="62"/>
      <c r="B73" s="156"/>
      <c r="C73" s="105" t="str">
        <f>VLOOKUP(D73,[1]Saldo!A72:B31345,2,0)</f>
        <v>#ERROR!</v>
      </c>
      <c r="D73" s="156" t="s">
        <v>709</v>
      </c>
      <c r="E73" s="156" t="s">
        <v>704</v>
      </c>
      <c r="F73" s="189">
        <v>4.0</v>
      </c>
      <c r="G73" s="191">
        <v>2000.0</v>
      </c>
      <c r="H73" s="190">
        <f>'PAINEL DE CONTROLE'!$J$5</f>
        <v>6544</v>
      </c>
      <c r="I73" s="190">
        <v>0.0</v>
      </c>
      <c r="J73" s="190">
        <f t="shared" si="3"/>
        <v>2000</v>
      </c>
      <c r="K73" s="190">
        <f t="shared" si="4"/>
        <v>-4544</v>
      </c>
      <c r="L73" s="60"/>
      <c r="M73" s="31"/>
      <c r="N73" s="61"/>
      <c r="O73" s="60"/>
      <c r="P73" s="31"/>
      <c r="Q73" s="61"/>
      <c r="R73" s="60"/>
      <c r="S73" s="31"/>
      <c r="T73" s="61"/>
      <c r="U73" s="60"/>
      <c r="V73" s="31"/>
      <c r="W73" s="61"/>
      <c r="X73" s="60"/>
      <c r="Y73" s="31"/>
      <c r="Z73" s="61"/>
      <c r="AA73" s="60"/>
      <c r="AB73" s="31"/>
      <c r="AC73" s="61"/>
      <c r="AD73" s="60"/>
      <c r="AE73" s="31"/>
      <c r="AF73" s="61"/>
      <c r="AG73" s="60"/>
      <c r="AH73" s="31"/>
      <c r="AI73" s="61"/>
      <c r="AJ73" s="60"/>
      <c r="AK73" s="31"/>
      <c r="AL73" s="61"/>
      <c r="AM73" s="60"/>
      <c r="AN73" s="31"/>
      <c r="AO73" s="61"/>
      <c r="AP73" s="60"/>
      <c r="AQ73" s="31"/>
      <c r="AR73" s="61"/>
      <c r="AS73" s="60"/>
      <c r="AT73" s="31"/>
      <c r="AU73" s="61"/>
    </row>
    <row r="74" ht="36.75" customHeight="1">
      <c r="A74" s="62"/>
      <c r="B74" s="156"/>
      <c r="C74" s="105" t="str">
        <f>VLOOKUP(D74,[1]Saldo!A73:B31346,2,0)</f>
        <v>#ERROR!</v>
      </c>
      <c r="D74" s="156" t="s">
        <v>710</v>
      </c>
      <c r="E74" s="156" t="s">
        <v>704</v>
      </c>
      <c r="F74" s="189">
        <v>4.0</v>
      </c>
      <c r="G74" s="191">
        <v>2000.0</v>
      </c>
      <c r="H74" s="190">
        <f>'PAINEL DE CONTROLE'!$J$5</f>
        <v>6544</v>
      </c>
      <c r="I74" s="190">
        <v>0.0</v>
      </c>
      <c r="J74" s="190">
        <f t="shared" si="3"/>
        <v>2000</v>
      </c>
      <c r="K74" s="190">
        <f t="shared" si="4"/>
        <v>-4544</v>
      </c>
      <c r="L74" s="60"/>
      <c r="M74" s="31"/>
      <c r="N74" s="61"/>
      <c r="O74" s="60"/>
      <c r="P74" s="31"/>
      <c r="Q74" s="61"/>
      <c r="R74" s="60"/>
      <c r="S74" s="31"/>
      <c r="T74" s="61"/>
      <c r="U74" s="60"/>
      <c r="V74" s="31"/>
      <c r="W74" s="61"/>
      <c r="X74" s="60"/>
      <c r="Y74" s="31"/>
      <c r="Z74" s="61"/>
      <c r="AA74" s="60"/>
      <c r="AB74" s="31"/>
      <c r="AC74" s="61"/>
      <c r="AD74" s="60"/>
      <c r="AE74" s="31"/>
      <c r="AF74" s="61"/>
      <c r="AG74" s="60"/>
      <c r="AH74" s="31"/>
      <c r="AI74" s="61"/>
      <c r="AJ74" s="60"/>
      <c r="AK74" s="31"/>
      <c r="AL74" s="61"/>
      <c r="AM74" s="60"/>
      <c r="AN74" s="31"/>
      <c r="AO74" s="61"/>
      <c r="AP74" s="60"/>
      <c r="AQ74" s="31"/>
      <c r="AR74" s="61"/>
      <c r="AS74" s="60"/>
      <c r="AT74" s="31"/>
      <c r="AU74" s="61"/>
    </row>
    <row r="75" ht="36.75" customHeight="1">
      <c r="A75" s="63"/>
      <c r="B75" s="156"/>
      <c r="C75" s="105" t="str">
        <f>VLOOKUP(D75,[1]Saldo!A74:B31347,2,0)</f>
        <v>#ERROR!</v>
      </c>
      <c r="D75" s="156" t="s">
        <v>711</v>
      </c>
      <c r="E75" s="156" t="s">
        <v>712</v>
      </c>
      <c r="F75" s="189">
        <v>4.0</v>
      </c>
      <c r="G75" s="191">
        <v>2000.0</v>
      </c>
      <c r="H75" s="190">
        <f>'PAINEL DE CONTROLE'!$J$5</f>
        <v>6544</v>
      </c>
      <c r="I75" s="190">
        <v>0.0</v>
      </c>
      <c r="J75" s="190">
        <f t="shared" si="3"/>
        <v>2000</v>
      </c>
      <c r="K75" s="190">
        <f t="shared" si="4"/>
        <v>-4544</v>
      </c>
      <c r="L75" s="60"/>
      <c r="M75" s="31"/>
      <c r="N75" s="61"/>
      <c r="O75" s="60"/>
      <c r="P75" s="31"/>
      <c r="Q75" s="61"/>
      <c r="R75" s="60"/>
      <c r="S75" s="31"/>
      <c r="T75" s="61"/>
      <c r="U75" s="60"/>
      <c r="V75" s="31"/>
      <c r="W75" s="61"/>
      <c r="X75" s="60"/>
      <c r="Y75" s="31"/>
      <c r="Z75" s="61"/>
      <c r="AA75" s="60"/>
      <c r="AB75" s="31"/>
      <c r="AC75" s="61"/>
      <c r="AD75" s="60"/>
      <c r="AE75" s="31"/>
      <c r="AF75" s="61"/>
      <c r="AG75" s="60"/>
      <c r="AH75" s="31"/>
      <c r="AI75" s="61"/>
      <c r="AJ75" s="60"/>
      <c r="AK75" s="31"/>
      <c r="AL75" s="61"/>
      <c r="AM75" s="60"/>
      <c r="AN75" s="31"/>
      <c r="AO75" s="61"/>
      <c r="AP75" s="60"/>
      <c r="AQ75" s="31"/>
      <c r="AR75" s="61"/>
      <c r="AS75" s="60"/>
      <c r="AT75" s="31"/>
      <c r="AU75" s="61"/>
    </row>
    <row r="76" ht="36.75" customHeight="1">
      <c r="A76" s="159" t="s">
        <v>49</v>
      </c>
      <c r="B76" s="157"/>
      <c r="C76" s="105" t="str">
        <f>VLOOKUP(D76,[1]Saldo!A75:B31348,2,0)</f>
        <v>#ERROR!</v>
      </c>
      <c r="D76" s="156" t="s">
        <v>713</v>
      </c>
      <c r="E76" s="156" t="s">
        <v>714</v>
      </c>
      <c r="F76" s="189">
        <v>12.0</v>
      </c>
      <c r="G76" s="191">
        <v>2000.0</v>
      </c>
      <c r="H76" s="190">
        <f>'PAINEL DE CONTROLE'!$J$5</f>
        <v>6544</v>
      </c>
      <c r="I76" s="190">
        <v>0.0</v>
      </c>
      <c r="J76" s="190">
        <f t="shared" si="3"/>
        <v>2000</v>
      </c>
      <c r="K76" s="190">
        <f t="shared" si="4"/>
        <v>-4544</v>
      </c>
      <c r="L76" s="60"/>
      <c r="M76" s="31"/>
      <c r="N76" s="61"/>
      <c r="O76" s="60"/>
      <c r="P76" s="31"/>
      <c r="Q76" s="61"/>
      <c r="R76" s="60"/>
      <c r="S76" s="31"/>
      <c r="T76" s="61"/>
      <c r="U76" s="60"/>
      <c r="V76" s="31"/>
      <c r="W76" s="61"/>
      <c r="X76" s="60"/>
      <c r="Y76" s="31"/>
      <c r="Z76" s="61"/>
      <c r="AA76" s="60"/>
      <c r="AB76" s="31"/>
      <c r="AC76" s="61"/>
      <c r="AD76" s="60"/>
      <c r="AE76" s="31"/>
      <c r="AF76" s="61"/>
      <c r="AG76" s="60"/>
      <c r="AH76" s="31"/>
      <c r="AI76" s="61"/>
      <c r="AJ76" s="60"/>
      <c r="AK76" s="31"/>
      <c r="AL76" s="61"/>
      <c r="AM76" s="60"/>
      <c r="AN76" s="31"/>
      <c r="AO76" s="61"/>
      <c r="AP76" s="60"/>
      <c r="AQ76" s="31"/>
      <c r="AR76" s="61"/>
      <c r="AS76" s="60"/>
      <c r="AT76" s="31"/>
      <c r="AU76" s="61"/>
    </row>
    <row r="77" ht="36.75" customHeight="1">
      <c r="A77" s="62"/>
      <c r="B77" s="157"/>
      <c r="C77" s="105" t="str">
        <f>VLOOKUP(D77,[1]Saldo!A76:B31349,2,0)</f>
        <v>#ERROR!</v>
      </c>
      <c r="D77" s="156" t="s">
        <v>715</v>
      </c>
      <c r="E77" s="156" t="s">
        <v>716</v>
      </c>
      <c r="F77" s="189">
        <v>4.0</v>
      </c>
      <c r="G77" s="191">
        <v>2000.0</v>
      </c>
      <c r="H77" s="190">
        <f>'PAINEL DE CONTROLE'!$J$5</f>
        <v>6544</v>
      </c>
      <c r="I77" s="190">
        <v>0.0</v>
      </c>
      <c r="J77" s="190">
        <f t="shared" si="3"/>
        <v>2000</v>
      </c>
      <c r="K77" s="190">
        <f t="shared" si="4"/>
        <v>-4544</v>
      </c>
      <c r="L77" s="60"/>
      <c r="M77" s="31"/>
      <c r="N77" s="61"/>
      <c r="O77" s="60"/>
      <c r="P77" s="31"/>
      <c r="Q77" s="61"/>
      <c r="R77" s="60"/>
      <c r="S77" s="31"/>
      <c r="T77" s="61"/>
      <c r="U77" s="60"/>
      <c r="V77" s="31"/>
      <c r="W77" s="61"/>
      <c r="X77" s="60"/>
      <c r="Y77" s="31"/>
      <c r="Z77" s="61"/>
      <c r="AA77" s="60"/>
      <c r="AB77" s="31"/>
      <c r="AC77" s="61"/>
      <c r="AD77" s="60"/>
      <c r="AE77" s="31"/>
      <c r="AF77" s="61"/>
      <c r="AG77" s="60"/>
      <c r="AH77" s="31"/>
      <c r="AI77" s="61"/>
      <c r="AJ77" s="60"/>
      <c r="AK77" s="31"/>
      <c r="AL77" s="61"/>
      <c r="AM77" s="60"/>
      <c r="AN77" s="31"/>
      <c r="AO77" s="61"/>
      <c r="AP77" s="60"/>
      <c r="AQ77" s="31"/>
      <c r="AR77" s="61"/>
      <c r="AS77" s="60"/>
      <c r="AT77" s="31"/>
      <c r="AU77" s="61"/>
    </row>
    <row r="78" ht="36.75" customHeight="1">
      <c r="A78" s="62"/>
      <c r="B78" s="157"/>
      <c r="C78" s="105" t="str">
        <f>VLOOKUP(D78,[1]Saldo!A77:B31350,2,0)</f>
        <v>#ERROR!</v>
      </c>
      <c r="D78" s="156" t="s">
        <v>717</v>
      </c>
      <c r="E78" s="156" t="s">
        <v>718</v>
      </c>
      <c r="F78" s="189">
        <v>4.0</v>
      </c>
      <c r="G78" s="191">
        <v>2000.0</v>
      </c>
      <c r="H78" s="190">
        <f>'PAINEL DE CONTROLE'!$J$5</f>
        <v>6544</v>
      </c>
      <c r="I78" s="190">
        <v>0.0</v>
      </c>
      <c r="J78" s="190">
        <f t="shared" si="3"/>
        <v>2000</v>
      </c>
      <c r="K78" s="190">
        <f t="shared" si="4"/>
        <v>-4544</v>
      </c>
      <c r="L78" s="60"/>
      <c r="M78" s="31"/>
      <c r="N78" s="61"/>
      <c r="O78" s="60"/>
      <c r="P78" s="31"/>
      <c r="Q78" s="61"/>
      <c r="R78" s="60"/>
      <c r="S78" s="31"/>
      <c r="T78" s="61"/>
      <c r="U78" s="60"/>
      <c r="V78" s="31"/>
      <c r="W78" s="61"/>
      <c r="X78" s="60"/>
      <c r="Y78" s="31"/>
      <c r="Z78" s="61"/>
      <c r="AA78" s="60"/>
      <c r="AB78" s="31"/>
      <c r="AC78" s="61"/>
      <c r="AD78" s="60"/>
      <c r="AE78" s="31"/>
      <c r="AF78" s="61"/>
      <c r="AG78" s="60"/>
      <c r="AH78" s="31"/>
      <c r="AI78" s="61"/>
      <c r="AJ78" s="60"/>
      <c r="AK78" s="31"/>
      <c r="AL78" s="61"/>
      <c r="AM78" s="60"/>
      <c r="AN78" s="31"/>
      <c r="AO78" s="61"/>
      <c r="AP78" s="60"/>
      <c r="AQ78" s="31"/>
      <c r="AR78" s="61"/>
      <c r="AS78" s="60"/>
      <c r="AT78" s="31"/>
      <c r="AU78" s="61"/>
    </row>
    <row r="79" ht="36.75" customHeight="1">
      <c r="A79" s="62"/>
      <c r="B79" s="157"/>
      <c r="C79" s="105" t="str">
        <f>VLOOKUP(D79,[1]Saldo!A78:B31351,2,0)</f>
        <v>#ERROR!</v>
      </c>
      <c r="D79" s="156" t="s">
        <v>719</v>
      </c>
      <c r="E79" s="156" t="s">
        <v>720</v>
      </c>
      <c r="F79" s="189">
        <v>4.0</v>
      </c>
      <c r="G79" s="191">
        <v>2000.0</v>
      </c>
      <c r="H79" s="190">
        <f>'PAINEL DE CONTROLE'!$J$5</f>
        <v>6544</v>
      </c>
      <c r="I79" s="190">
        <v>0.0</v>
      </c>
      <c r="J79" s="190">
        <f t="shared" si="3"/>
        <v>2000</v>
      </c>
      <c r="K79" s="190">
        <f t="shared" si="4"/>
        <v>-4544</v>
      </c>
      <c r="L79" s="60"/>
      <c r="M79" s="31"/>
      <c r="N79" s="61"/>
      <c r="O79" s="60"/>
      <c r="P79" s="31"/>
      <c r="Q79" s="61"/>
      <c r="R79" s="60"/>
      <c r="S79" s="31"/>
      <c r="T79" s="61"/>
      <c r="U79" s="60"/>
      <c r="V79" s="31"/>
      <c r="W79" s="61"/>
      <c r="X79" s="60"/>
      <c r="Y79" s="31"/>
      <c r="Z79" s="61"/>
      <c r="AA79" s="60"/>
      <c r="AB79" s="31"/>
      <c r="AC79" s="61"/>
      <c r="AD79" s="60"/>
      <c r="AE79" s="31"/>
      <c r="AF79" s="61"/>
      <c r="AG79" s="60"/>
      <c r="AH79" s="31"/>
      <c r="AI79" s="61"/>
      <c r="AJ79" s="60"/>
      <c r="AK79" s="31"/>
      <c r="AL79" s="61"/>
      <c r="AM79" s="60"/>
      <c r="AN79" s="31"/>
      <c r="AO79" s="61"/>
      <c r="AP79" s="60"/>
      <c r="AQ79" s="31"/>
      <c r="AR79" s="61"/>
      <c r="AS79" s="60"/>
      <c r="AT79" s="31"/>
      <c r="AU79" s="61"/>
    </row>
    <row r="80" ht="36.75" customHeight="1">
      <c r="A80" s="62"/>
      <c r="B80" s="157"/>
      <c r="C80" s="105" t="str">
        <f>VLOOKUP(D80,[1]Saldo!A79:B31352,2,0)</f>
        <v>#ERROR!</v>
      </c>
      <c r="D80" s="156" t="s">
        <v>721</v>
      </c>
      <c r="E80" s="156" t="s">
        <v>722</v>
      </c>
      <c r="F80" s="189">
        <v>8.0</v>
      </c>
      <c r="G80" s="191">
        <v>2000.0</v>
      </c>
      <c r="H80" s="190">
        <f>'PAINEL DE CONTROLE'!$J$5</f>
        <v>6544</v>
      </c>
      <c r="I80" s="190">
        <v>0.0</v>
      </c>
      <c r="J80" s="190">
        <f t="shared" si="3"/>
        <v>2000</v>
      </c>
      <c r="K80" s="190">
        <f t="shared" si="4"/>
        <v>-4544</v>
      </c>
      <c r="L80" s="60"/>
      <c r="M80" s="31"/>
      <c r="N80" s="61"/>
      <c r="O80" s="60"/>
      <c r="P80" s="31"/>
      <c r="Q80" s="61"/>
      <c r="R80" s="60"/>
      <c r="S80" s="31"/>
      <c r="T80" s="61"/>
      <c r="U80" s="60"/>
      <c r="V80" s="31"/>
      <c r="W80" s="61"/>
      <c r="X80" s="60"/>
      <c r="Y80" s="31"/>
      <c r="Z80" s="61"/>
      <c r="AA80" s="60"/>
      <c r="AB80" s="31"/>
      <c r="AC80" s="61"/>
      <c r="AD80" s="60"/>
      <c r="AE80" s="31"/>
      <c r="AF80" s="61"/>
      <c r="AG80" s="60"/>
      <c r="AH80" s="31"/>
      <c r="AI80" s="61"/>
      <c r="AJ80" s="60"/>
      <c r="AK80" s="31"/>
      <c r="AL80" s="61"/>
      <c r="AM80" s="60"/>
      <c r="AN80" s="31"/>
      <c r="AO80" s="61"/>
      <c r="AP80" s="60"/>
      <c r="AQ80" s="31"/>
      <c r="AR80" s="61"/>
      <c r="AS80" s="60"/>
      <c r="AT80" s="31"/>
      <c r="AU80" s="61"/>
    </row>
    <row r="81" ht="36.75" customHeight="1">
      <c r="A81" s="62"/>
      <c r="B81" s="157"/>
      <c r="C81" s="105" t="str">
        <f>VLOOKUP(D81,[1]Saldo!A80:B31353,2,0)</f>
        <v>#ERROR!</v>
      </c>
      <c r="D81" s="156" t="s">
        <v>723</v>
      </c>
      <c r="E81" s="156" t="s">
        <v>724</v>
      </c>
      <c r="F81" s="189">
        <v>8.0</v>
      </c>
      <c r="G81" s="191">
        <v>2000.0</v>
      </c>
      <c r="H81" s="190">
        <f>'PAINEL DE CONTROLE'!$J$5</f>
        <v>6544</v>
      </c>
      <c r="I81" s="190">
        <v>0.0</v>
      </c>
      <c r="J81" s="190">
        <f t="shared" si="3"/>
        <v>2000</v>
      </c>
      <c r="K81" s="190">
        <f t="shared" si="4"/>
        <v>-4544</v>
      </c>
      <c r="L81" s="60"/>
      <c r="M81" s="31"/>
      <c r="N81" s="61"/>
      <c r="O81" s="60"/>
      <c r="P81" s="31"/>
      <c r="Q81" s="61"/>
      <c r="R81" s="60"/>
      <c r="S81" s="31"/>
      <c r="T81" s="61"/>
      <c r="U81" s="60"/>
      <c r="V81" s="31"/>
      <c r="W81" s="61"/>
      <c r="X81" s="60"/>
      <c r="Y81" s="31"/>
      <c r="Z81" s="61"/>
      <c r="AA81" s="60"/>
      <c r="AB81" s="31"/>
      <c r="AC81" s="61"/>
      <c r="AD81" s="60"/>
      <c r="AE81" s="31"/>
      <c r="AF81" s="61"/>
      <c r="AG81" s="60"/>
      <c r="AH81" s="31"/>
      <c r="AI81" s="61"/>
      <c r="AJ81" s="60"/>
      <c r="AK81" s="31"/>
      <c r="AL81" s="61"/>
      <c r="AM81" s="60"/>
      <c r="AN81" s="31"/>
      <c r="AO81" s="61"/>
      <c r="AP81" s="60"/>
      <c r="AQ81" s="31"/>
      <c r="AR81" s="61"/>
      <c r="AS81" s="60"/>
      <c r="AT81" s="31"/>
      <c r="AU81" s="61"/>
    </row>
    <row r="82" ht="36.75" customHeight="1">
      <c r="A82" s="62"/>
      <c r="B82" s="157"/>
      <c r="C82" s="105" t="str">
        <f>VLOOKUP(D82,[1]Saldo!A81:B31354,2,0)</f>
        <v>#ERROR!</v>
      </c>
      <c r="D82" s="156" t="s">
        <v>725</v>
      </c>
      <c r="E82" s="156" t="s">
        <v>726</v>
      </c>
      <c r="F82" s="189">
        <v>4.0</v>
      </c>
      <c r="G82" s="191">
        <v>2000.0</v>
      </c>
      <c r="H82" s="190">
        <f>'PAINEL DE CONTROLE'!$J$5</f>
        <v>6544</v>
      </c>
      <c r="I82" s="190">
        <v>0.0</v>
      </c>
      <c r="J82" s="190">
        <f t="shared" si="3"/>
        <v>2000</v>
      </c>
      <c r="K82" s="190">
        <f t="shared" si="4"/>
        <v>-4544</v>
      </c>
      <c r="L82" s="60"/>
      <c r="M82" s="31"/>
      <c r="N82" s="61"/>
      <c r="O82" s="60"/>
      <c r="P82" s="31"/>
      <c r="Q82" s="61"/>
      <c r="R82" s="60"/>
      <c r="S82" s="31"/>
      <c r="T82" s="61"/>
      <c r="U82" s="60"/>
      <c r="V82" s="31"/>
      <c r="W82" s="61"/>
      <c r="X82" s="60"/>
      <c r="Y82" s="31"/>
      <c r="Z82" s="61"/>
      <c r="AA82" s="60"/>
      <c r="AB82" s="31"/>
      <c r="AC82" s="61"/>
      <c r="AD82" s="60"/>
      <c r="AE82" s="31"/>
      <c r="AF82" s="61"/>
      <c r="AG82" s="60"/>
      <c r="AH82" s="31"/>
      <c r="AI82" s="61"/>
      <c r="AJ82" s="60"/>
      <c r="AK82" s="31"/>
      <c r="AL82" s="61"/>
      <c r="AM82" s="60"/>
      <c r="AN82" s="31"/>
      <c r="AO82" s="61"/>
      <c r="AP82" s="60"/>
      <c r="AQ82" s="31"/>
      <c r="AR82" s="61"/>
      <c r="AS82" s="60"/>
      <c r="AT82" s="31"/>
      <c r="AU82" s="61"/>
    </row>
    <row r="83" ht="36.75" customHeight="1">
      <c r="A83" s="62"/>
      <c r="B83" s="157"/>
      <c r="C83" s="105" t="str">
        <f>VLOOKUP(D83,[1]Saldo!A82:B31355,2,0)</f>
        <v>#ERROR!</v>
      </c>
      <c r="D83" s="156" t="s">
        <v>727</v>
      </c>
      <c r="E83" s="156" t="s">
        <v>718</v>
      </c>
      <c r="F83" s="189">
        <v>4.0</v>
      </c>
      <c r="G83" s="191">
        <v>2000.0</v>
      </c>
      <c r="H83" s="190">
        <f>'PAINEL DE CONTROLE'!$J$5</f>
        <v>6544</v>
      </c>
      <c r="I83" s="190">
        <v>0.0</v>
      </c>
      <c r="J83" s="190">
        <f t="shared" si="3"/>
        <v>2000</v>
      </c>
      <c r="K83" s="190">
        <f t="shared" si="4"/>
        <v>-4544</v>
      </c>
      <c r="L83" s="60"/>
      <c r="M83" s="31"/>
      <c r="N83" s="61"/>
      <c r="O83" s="60"/>
      <c r="P83" s="31"/>
      <c r="Q83" s="61"/>
      <c r="R83" s="60"/>
      <c r="S83" s="31"/>
      <c r="T83" s="61"/>
      <c r="U83" s="60"/>
      <c r="V83" s="31"/>
      <c r="W83" s="61"/>
      <c r="X83" s="60"/>
      <c r="Y83" s="31"/>
      <c r="Z83" s="61"/>
      <c r="AA83" s="60"/>
      <c r="AB83" s="31"/>
      <c r="AC83" s="61"/>
      <c r="AD83" s="60"/>
      <c r="AE83" s="31"/>
      <c r="AF83" s="61"/>
      <c r="AG83" s="60"/>
      <c r="AH83" s="31"/>
      <c r="AI83" s="61"/>
      <c r="AJ83" s="60"/>
      <c r="AK83" s="31"/>
      <c r="AL83" s="61"/>
      <c r="AM83" s="60"/>
      <c r="AN83" s="31"/>
      <c r="AO83" s="61"/>
      <c r="AP83" s="60"/>
      <c r="AQ83" s="31"/>
      <c r="AR83" s="61"/>
      <c r="AS83" s="60"/>
      <c r="AT83" s="31"/>
      <c r="AU83" s="61"/>
    </row>
    <row r="84" ht="36.75" customHeight="1">
      <c r="A84" s="62"/>
      <c r="B84" s="157"/>
      <c r="C84" s="105" t="str">
        <f>VLOOKUP(D84,[1]Saldo!A83:B31356,2,0)</f>
        <v>#ERROR!</v>
      </c>
      <c r="D84" s="156" t="s">
        <v>728</v>
      </c>
      <c r="E84" s="156" t="s">
        <v>729</v>
      </c>
      <c r="F84" s="189">
        <v>4.0</v>
      </c>
      <c r="G84" s="191">
        <v>2000.0</v>
      </c>
      <c r="H84" s="190">
        <f>'PAINEL DE CONTROLE'!$J$5</f>
        <v>6544</v>
      </c>
      <c r="I84" s="190">
        <v>0.0</v>
      </c>
      <c r="J84" s="190">
        <f t="shared" si="3"/>
        <v>2000</v>
      </c>
      <c r="K84" s="190">
        <f t="shared" si="4"/>
        <v>-4544</v>
      </c>
      <c r="L84" s="60"/>
      <c r="M84" s="31"/>
      <c r="N84" s="61"/>
      <c r="O84" s="60"/>
      <c r="P84" s="31"/>
      <c r="Q84" s="61"/>
      <c r="R84" s="60"/>
      <c r="S84" s="31"/>
      <c r="T84" s="61"/>
      <c r="U84" s="60"/>
      <c r="V84" s="31"/>
      <c r="W84" s="61"/>
      <c r="X84" s="60"/>
      <c r="Y84" s="31"/>
      <c r="Z84" s="61"/>
      <c r="AA84" s="60"/>
      <c r="AB84" s="31"/>
      <c r="AC84" s="61"/>
      <c r="AD84" s="60"/>
      <c r="AE84" s="31"/>
      <c r="AF84" s="61"/>
      <c r="AG84" s="60"/>
      <c r="AH84" s="31"/>
      <c r="AI84" s="61"/>
      <c r="AJ84" s="60"/>
      <c r="AK84" s="31"/>
      <c r="AL84" s="61"/>
      <c r="AM84" s="60"/>
      <c r="AN84" s="31"/>
      <c r="AO84" s="61"/>
      <c r="AP84" s="60"/>
      <c r="AQ84" s="31"/>
      <c r="AR84" s="61"/>
      <c r="AS84" s="60"/>
      <c r="AT84" s="31"/>
      <c r="AU84" s="61"/>
    </row>
    <row r="85" ht="36.75" customHeight="1">
      <c r="A85" s="62"/>
      <c r="B85" s="157"/>
      <c r="C85" s="105" t="str">
        <f>VLOOKUP(D85,[1]Saldo!A84:B31357,2,0)</f>
        <v>#ERROR!</v>
      </c>
      <c r="D85" s="156" t="s">
        <v>730</v>
      </c>
      <c r="E85" s="156" t="s">
        <v>716</v>
      </c>
      <c r="F85" s="189">
        <v>2.0</v>
      </c>
      <c r="G85" s="191">
        <v>2000.0</v>
      </c>
      <c r="H85" s="190">
        <f>'PAINEL DE CONTROLE'!$J$5</f>
        <v>6544</v>
      </c>
      <c r="I85" s="190">
        <v>0.0</v>
      </c>
      <c r="J85" s="190">
        <f t="shared" si="3"/>
        <v>2000</v>
      </c>
      <c r="K85" s="190">
        <f t="shared" si="4"/>
        <v>-4544</v>
      </c>
      <c r="L85" s="60"/>
      <c r="M85" s="31"/>
      <c r="N85" s="61"/>
      <c r="O85" s="60"/>
      <c r="P85" s="31"/>
      <c r="Q85" s="61"/>
      <c r="R85" s="60"/>
      <c r="S85" s="31"/>
      <c r="T85" s="61"/>
      <c r="U85" s="60"/>
      <c r="V85" s="31"/>
      <c r="W85" s="61"/>
      <c r="X85" s="60"/>
      <c r="Y85" s="31"/>
      <c r="Z85" s="61"/>
      <c r="AA85" s="60"/>
      <c r="AB85" s="31"/>
      <c r="AC85" s="61"/>
      <c r="AD85" s="60"/>
      <c r="AE85" s="31"/>
      <c r="AF85" s="61"/>
      <c r="AG85" s="60"/>
      <c r="AH85" s="31"/>
      <c r="AI85" s="61"/>
      <c r="AJ85" s="60"/>
      <c r="AK85" s="31"/>
      <c r="AL85" s="61"/>
      <c r="AM85" s="60"/>
      <c r="AN85" s="31"/>
      <c r="AO85" s="61"/>
      <c r="AP85" s="60"/>
      <c r="AQ85" s="31"/>
      <c r="AR85" s="61"/>
      <c r="AS85" s="60"/>
      <c r="AT85" s="31"/>
      <c r="AU85" s="61"/>
    </row>
    <row r="86" ht="36.75" customHeight="1">
      <c r="A86" s="62"/>
      <c r="B86" s="157"/>
      <c r="C86" s="105" t="str">
        <f>VLOOKUP(D86,[1]Saldo!A85:B31358,2,0)</f>
        <v>#ERROR!</v>
      </c>
      <c r="D86" s="156" t="s">
        <v>731</v>
      </c>
      <c r="E86" s="156" t="s">
        <v>732</v>
      </c>
      <c r="F86" s="189">
        <v>4.0</v>
      </c>
      <c r="G86" s="191">
        <v>2000.0</v>
      </c>
      <c r="H86" s="190">
        <f>'PAINEL DE CONTROLE'!$J$5</f>
        <v>6544</v>
      </c>
      <c r="I86" s="190">
        <v>0.0</v>
      </c>
      <c r="J86" s="190">
        <f t="shared" si="3"/>
        <v>2000</v>
      </c>
      <c r="K86" s="190">
        <f t="shared" si="4"/>
        <v>-4544</v>
      </c>
      <c r="L86" s="60"/>
      <c r="M86" s="31"/>
      <c r="N86" s="61"/>
      <c r="O86" s="60"/>
      <c r="P86" s="31"/>
      <c r="Q86" s="61"/>
      <c r="R86" s="60"/>
      <c r="S86" s="31"/>
      <c r="T86" s="61"/>
      <c r="U86" s="60"/>
      <c r="V86" s="31"/>
      <c r="W86" s="61"/>
      <c r="X86" s="60"/>
      <c r="Y86" s="31"/>
      <c r="Z86" s="61"/>
      <c r="AA86" s="60"/>
      <c r="AB86" s="31"/>
      <c r="AC86" s="61"/>
      <c r="AD86" s="60"/>
      <c r="AE86" s="31"/>
      <c r="AF86" s="61"/>
      <c r="AG86" s="60"/>
      <c r="AH86" s="31"/>
      <c r="AI86" s="61"/>
      <c r="AJ86" s="60"/>
      <c r="AK86" s="31"/>
      <c r="AL86" s="61"/>
      <c r="AM86" s="60"/>
      <c r="AN86" s="31"/>
      <c r="AO86" s="61"/>
      <c r="AP86" s="60"/>
      <c r="AQ86" s="31"/>
      <c r="AR86" s="61"/>
      <c r="AS86" s="60"/>
      <c r="AT86" s="31"/>
      <c r="AU86" s="61"/>
    </row>
    <row r="87" ht="36.75" customHeight="1">
      <c r="A87" s="62"/>
      <c r="B87" s="157"/>
      <c r="C87" s="105" t="str">
        <f>VLOOKUP(D87,[1]Saldo!A86:B31359,2,0)</f>
        <v>#ERROR!</v>
      </c>
      <c r="D87" s="156" t="s">
        <v>733</v>
      </c>
      <c r="E87" s="156" t="s">
        <v>716</v>
      </c>
      <c r="F87" s="189">
        <v>2.0</v>
      </c>
      <c r="G87" s="191">
        <v>2000.0</v>
      </c>
      <c r="H87" s="190">
        <f>'PAINEL DE CONTROLE'!$J$5</f>
        <v>6544</v>
      </c>
      <c r="I87" s="190">
        <v>0.0</v>
      </c>
      <c r="J87" s="190">
        <f t="shared" si="3"/>
        <v>2000</v>
      </c>
      <c r="K87" s="190">
        <f t="shared" si="4"/>
        <v>-4544</v>
      </c>
      <c r="L87" s="60"/>
      <c r="M87" s="31"/>
      <c r="N87" s="61"/>
      <c r="O87" s="60"/>
      <c r="P87" s="31"/>
      <c r="Q87" s="61"/>
      <c r="R87" s="60"/>
      <c r="S87" s="31"/>
      <c r="T87" s="61"/>
      <c r="U87" s="60"/>
      <c r="V87" s="31"/>
      <c r="W87" s="61"/>
      <c r="X87" s="60"/>
      <c r="Y87" s="31"/>
      <c r="Z87" s="61"/>
      <c r="AA87" s="60"/>
      <c r="AB87" s="31"/>
      <c r="AC87" s="61"/>
      <c r="AD87" s="60"/>
      <c r="AE87" s="31"/>
      <c r="AF87" s="61"/>
      <c r="AG87" s="60"/>
      <c r="AH87" s="31"/>
      <c r="AI87" s="61"/>
      <c r="AJ87" s="60"/>
      <c r="AK87" s="31"/>
      <c r="AL87" s="61"/>
      <c r="AM87" s="60"/>
      <c r="AN87" s="31"/>
      <c r="AO87" s="61"/>
      <c r="AP87" s="60"/>
      <c r="AQ87" s="31"/>
      <c r="AR87" s="61"/>
      <c r="AS87" s="60"/>
      <c r="AT87" s="31"/>
      <c r="AU87" s="61"/>
    </row>
    <row r="88" ht="36.75" customHeight="1">
      <c r="A88" s="62"/>
      <c r="B88" s="157"/>
      <c r="C88" s="105" t="str">
        <f>VLOOKUP(D88,[1]Saldo!A87:B31360,2,0)</f>
        <v>#ERROR!</v>
      </c>
      <c r="D88" s="156" t="s">
        <v>734</v>
      </c>
      <c r="E88" s="156" t="s">
        <v>735</v>
      </c>
      <c r="F88" s="189">
        <v>1.0</v>
      </c>
      <c r="G88" s="191">
        <v>2000.0</v>
      </c>
      <c r="H88" s="190">
        <f>'PAINEL DE CONTROLE'!$J$5</f>
        <v>6544</v>
      </c>
      <c r="I88" s="190">
        <v>0.0</v>
      </c>
      <c r="J88" s="190">
        <f t="shared" si="3"/>
        <v>2000</v>
      </c>
      <c r="K88" s="190">
        <f t="shared" si="4"/>
        <v>-4544</v>
      </c>
      <c r="L88" s="60"/>
      <c r="M88" s="31"/>
      <c r="N88" s="61"/>
      <c r="O88" s="60"/>
      <c r="P88" s="31"/>
      <c r="Q88" s="61"/>
      <c r="R88" s="60"/>
      <c r="S88" s="31"/>
      <c r="T88" s="61"/>
      <c r="U88" s="60"/>
      <c r="V88" s="31"/>
      <c r="W88" s="61"/>
      <c r="X88" s="60"/>
      <c r="Y88" s="31"/>
      <c r="Z88" s="61"/>
      <c r="AA88" s="60"/>
      <c r="AB88" s="31"/>
      <c r="AC88" s="61"/>
      <c r="AD88" s="60"/>
      <c r="AE88" s="31"/>
      <c r="AF88" s="61"/>
      <c r="AG88" s="60"/>
      <c r="AH88" s="31"/>
      <c r="AI88" s="61"/>
      <c r="AJ88" s="60"/>
      <c r="AK88" s="31"/>
      <c r="AL88" s="61"/>
      <c r="AM88" s="60"/>
      <c r="AN88" s="31"/>
      <c r="AO88" s="61"/>
      <c r="AP88" s="60"/>
      <c r="AQ88" s="31"/>
      <c r="AR88" s="61"/>
      <c r="AS88" s="60"/>
      <c r="AT88" s="31"/>
      <c r="AU88" s="61"/>
    </row>
    <row r="89" ht="36.75" customHeight="1">
      <c r="A89" s="63"/>
      <c r="B89" s="157"/>
      <c r="C89" s="105" t="str">
        <f>VLOOKUP(D89,[1]Saldo!A88:B31361,2,0)</f>
        <v>#ERROR!</v>
      </c>
      <c r="D89" s="156" t="s">
        <v>736</v>
      </c>
      <c r="E89" s="156" t="s">
        <v>737</v>
      </c>
      <c r="F89" s="189">
        <v>1.0</v>
      </c>
      <c r="G89" s="191">
        <v>2000.0</v>
      </c>
      <c r="H89" s="190">
        <f>'PAINEL DE CONTROLE'!$J$5</f>
        <v>6544</v>
      </c>
      <c r="I89" s="190">
        <v>0.0</v>
      </c>
      <c r="J89" s="190">
        <f t="shared" si="3"/>
        <v>2000</v>
      </c>
      <c r="K89" s="190">
        <f t="shared" si="4"/>
        <v>-4544</v>
      </c>
      <c r="L89" s="60"/>
      <c r="M89" s="31"/>
      <c r="N89" s="61"/>
      <c r="O89" s="60"/>
      <c r="P89" s="31"/>
      <c r="Q89" s="61"/>
      <c r="R89" s="60"/>
      <c r="S89" s="31"/>
      <c r="T89" s="61"/>
      <c r="U89" s="60"/>
      <c r="V89" s="31"/>
      <c r="W89" s="61"/>
      <c r="X89" s="60"/>
      <c r="Y89" s="31"/>
      <c r="Z89" s="61"/>
      <c r="AA89" s="60"/>
      <c r="AB89" s="31"/>
      <c r="AC89" s="61"/>
      <c r="AD89" s="60"/>
      <c r="AE89" s="31"/>
      <c r="AF89" s="61"/>
      <c r="AG89" s="60"/>
      <c r="AH89" s="31"/>
      <c r="AI89" s="61"/>
      <c r="AJ89" s="60"/>
      <c r="AK89" s="31"/>
      <c r="AL89" s="61"/>
      <c r="AM89" s="60"/>
      <c r="AN89" s="31"/>
      <c r="AO89" s="61"/>
      <c r="AP89" s="60"/>
      <c r="AQ89" s="31"/>
      <c r="AR89" s="61"/>
      <c r="AS89" s="60"/>
      <c r="AT89" s="31"/>
      <c r="AU89" s="61"/>
    </row>
    <row r="90" ht="36.75" customHeight="1">
      <c r="A90" s="147" t="s">
        <v>50</v>
      </c>
      <c r="B90" s="156"/>
      <c r="C90" s="105" t="str">
        <f>VLOOKUP(D90,[1]Saldo!A89:B31362,2,0)</f>
        <v>#ERROR!</v>
      </c>
      <c r="D90" s="156" t="s">
        <v>738</v>
      </c>
      <c r="E90" s="156" t="s">
        <v>686</v>
      </c>
      <c r="F90" s="189">
        <v>2.0</v>
      </c>
      <c r="G90" s="191">
        <v>2000.0</v>
      </c>
      <c r="H90" s="190">
        <f>'PAINEL DE CONTROLE'!$J$5</f>
        <v>6544</v>
      </c>
      <c r="I90" s="190">
        <v>0.0</v>
      </c>
      <c r="J90" s="190">
        <f t="shared" si="3"/>
        <v>2000</v>
      </c>
      <c r="K90" s="190">
        <f t="shared" si="4"/>
        <v>-4544</v>
      </c>
      <c r="L90" s="60"/>
      <c r="M90" s="31"/>
      <c r="N90" s="61"/>
      <c r="O90" s="60"/>
      <c r="P90" s="31"/>
      <c r="Q90" s="61"/>
      <c r="R90" s="60"/>
      <c r="S90" s="31"/>
      <c r="T90" s="61"/>
      <c r="U90" s="60"/>
      <c r="V90" s="31"/>
      <c r="W90" s="61"/>
      <c r="X90" s="60"/>
      <c r="Y90" s="31"/>
      <c r="Z90" s="61"/>
      <c r="AA90" s="60"/>
      <c r="AB90" s="31"/>
      <c r="AC90" s="61"/>
      <c r="AD90" s="60"/>
      <c r="AE90" s="31"/>
      <c r="AF90" s="61"/>
      <c r="AG90" s="60"/>
      <c r="AH90" s="31"/>
      <c r="AI90" s="61"/>
      <c r="AJ90" s="60"/>
      <c r="AK90" s="31"/>
      <c r="AL90" s="61"/>
      <c r="AM90" s="60"/>
      <c r="AN90" s="31"/>
      <c r="AO90" s="61"/>
      <c r="AP90" s="60"/>
      <c r="AQ90" s="31"/>
      <c r="AR90" s="61"/>
      <c r="AS90" s="60"/>
      <c r="AT90" s="31"/>
      <c r="AU90" s="61"/>
    </row>
    <row r="91" ht="36.75" customHeight="1">
      <c r="A91" s="63"/>
      <c r="B91" s="156"/>
      <c r="C91" s="105" t="str">
        <f>VLOOKUP(D91,[1]Saldo!A90:B31363,2,0)</f>
        <v>#ERROR!</v>
      </c>
      <c r="D91" s="156" t="s">
        <v>739</v>
      </c>
      <c r="E91" s="156" t="s">
        <v>680</v>
      </c>
      <c r="F91" s="189">
        <v>2.0</v>
      </c>
      <c r="G91" s="191">
        <v>2000.0</v>
      </c>
      <c r="H91" s="190">
        <f>'PAINEL DE CONTROLE'!$J$5</f>
        <v>6544</v>
      </c>
      <c r="I91" s="190">
        <v>0.0</v>
      </c>
      <c r="J91" s="190">
        <f t="shared" si="3"/>
        <v>2000</v>
      </c>
      <c r="K91" s="190">
        <f t="shared" si="4"/>
        <v>-4544</v>
      </c>
      <c r="L91" s="60"/>
      <c r="M91" s="31"/>
      <c r="N91" s="61"/>
      <c r="O91" s="60"/>
      <c r="P91" s="31"/>
      <c r="Q91" s="61"/>
      <c r="R91" s="60"/>
      <c r="S91" s="31"/>
      <c r="T91" s="61"/>
      <c r="U91" s="60"/>
      <c r="V91" s="31"/>
      <c r="W91" s="61"/>
      <c r="X91" s="60"/>
      <c r="Y91" s="31"/>
      <c r="Z91" s="61"/>
      <c r="AA91" s="60"/>
      <c r="AB91" s="31"/>
      <c r="AC91" s="61"/>
      <c r="AD91" s="60"/>
      <c r="AE91" s="31"/>
      <c r="AF91" s="61"/>
      <c r="AG91" s="60"/>
      <c r="AH91" s="31"/>
      <c r="AI91" s="61"/>
      <c r="AJ91" s="60"/>
      <c r="AK91" s="31"/>
      <c r="AL91" s="61"/>
      <c r="AM91" s="60"/>
      <c r="AN91" s="31"/>
      <c r="AO91" s="61"/>
      <c r="AP91" s="60"/>
      <c r="AQ91" s="31"/>
      <c r="AR91" s="61"/>
      <c r="AS91" s="60"/>
      <c r="AT91" s="31"/>
      <c r="AU91" s="61"/>
    </row>
    <row r="92" ht="36.75" customHeight="1">
      <c r="A92" s="147" t="s">
        <v>740</v>
      </c>
      <c r="B92" s="156"/>
      <c r="C92" s="105" t="str">
        <f>VLOOKUP(D92,[1]Saldo!A91:B31364,2,0)</f>
        <v>#ERROR!</v>
      </c>
      <c r="D92" s="156" t="s">
        <v>741</v>
      </c>
      <c r="E92" s="156" t="s">
        <v>742</v>
      </c>
      <c r="F92" s="194">
        <v>8.0</v>
      </c>
      <c r="G92" s="191">
        <v>2000.0</v>
      </c>
      <c r="H92" s="190">
        <f>'PAINEL DE CONTROLE'!$J$5</f>
        <v>6544</v>
      </c>
      <c r="I92" s="190">
        <v>0.0</v>
      </c>
      <c r="J92" s="190">
        <f t="shared" si="3"/>
        <v>2000</v>
      </c>
      <c r="K92" s="190">
        <f t="shared" si="4"/>
        <v>-4544</v>
      </c>
      <c r="L92" s="60"/>
      <c r="M92" s="31"/>
      <c r="N92" s="61"/>
      <c r="O92" s="60"/>
      <c r="P92" s="31"/>
      <c r="Q92" s="61"/>
      <c r="R92" s="60"/>
      <c r="S92" s="31"/>
      <c r="T92" s="61"/>
      <c r="U92" s="60"/>
      <c r="V92" s="31"/>
      <c r="W92" s="61"/>
      <c r="X92" s="60"/>
      <c r="Y92" s="31"/>
      <c r="Z92" s="61"/>
      <c r="AA92" s="60"/>
      <c r="AB92" s="31"/>
      <c r="AC92" s="61"/>
      <c r="AD92" s="60"/>
      <c r="AE92" s="31"/>
      <c r="AF92" s="61"/>
      <c r="AG92" s="60"/>
      <c r="AH92" s="31"/>
      <c r="AI92" s="61"/>
      <c r="AJ92" s="60"/>
      <c r="AK92" s="31"/>
      <c r="AL92" s="61"/>
      <c r="AM92" s="60"/>
      <c r="AN92" s="31"/>
      <c r="AO92" s="61"/>
      <c r="AP92" s="60"/>
      <c r="AQ92" s="31"/>
      <c r="AR92" s="61"/>
      <c r="AS92" s="60"/>
      <c r="AT92" s="31"/>
      <c r="AU92" s="61"/>
    </row>
    <row r="93" ht="36.75" customHeight="1">
      <c r="A93" s="62"/>
      <c r="B93" s="156"/>
      <c r="C93" s="105" t="str">
        <f>VLOOKUP(D93,[1]Saldo!A92:B31365,2,0)</f>
        <v>#ERROR!</v>
      </c>
      <c r="D93" s="156" t="s">
        <v>743</v>
      </c>
      <c r="E93" s="156" t="s">
        <v>742</v>
      </c>
      <c r="F93" s="194">
        <v>16.0</v>
      </c>
      <c r="G93" s="191">
        <v>2000.0</v>
      </c>
      <c r="H93" s="190">
        <f>'PAINEL DE CONTROLE'!$J$5</f>
        <v>6544</v>
      </c>
      <c r="I93" s="190">
        <v>0.0</v>
      </c>
      <c r="J93" s="190">
        <f t="shared" si="3"/>
        <v>2000</v>
      </c>
      <c r="K93" s="190">
        <f t="shared" si="4"/>
        <v>-4544</v>
      </c>
      <c r="L93" s="60"/>
      <c r="M93" s="31"/>
      <c r="N93" s="61"/>
      <c r="O93" s="60"/>
      <c r="P93" s="31"/>
      <c r="Q93" s="61"/>
      <c r="R93" s="60"/>
      <c r="S93" s="31"/>
      <c r="T93" s="61"/>
      <c r="U93" s="60"/>
      <c r="V93" s="31"/>
      <c r="W93" s="61"/>
      <c r="X93" s="60"/>
      <c r="Y93" s="31"/>
      <c r="Z93" s="61"/>
      <c r="AA93" s="60"/>
      <c r="AB93" s="31"/>
      <c r="AC93" s="61"/>
      <c r="AD93" s="60"/>
      <c r="AE93" s="31"/>
      <c r="AF93" s="61"/>
      <c r="AG93" s="60"/>
      <c r="AH93" s="31"/>
      <c r="AI93" s="61"/>
      <c r="AJ93" s="60"/>
      <c r="AK93" s="31"/>
      <c r="AL93" s="61"/>
      <c r="AM93" s="60"/>
      <c r="AN93" s="31"/>
      <c r="AO93" s="61"/>
      <c r="AP93" s="60"/>
      <c r="AQ93" s="31"/>
      <c r="AR93" s="61"/>
      <c r="AS93" s="60"/>
      <c r="AT93" s="31"/>
      <c r="AU93" s="61"/>
    </row>
    <row r="94" ht="36.75" customHeight="1">
      <c r="A94" s="62"/>
      <c r="B94" s="156"/>
      <c r="C94" s="105" t="str">
        <f>VLOOKUP(D94,[1]Saldo!A93:B31366,2,0)</f>
        <v>#ERROR!</v>
      </c>
      <c r="D94" s="156" t="s">
        <v>744</v>
      </c>
      <c r="E94" s="156" t="s">
        <v>745</v>
      </c>
      <c r="F94" s="194">
        <v>2.0</v>
      </c>
      <c r="G94" s="191">
        <v>2000.0</v>
      </c>
      <c r="H94" s="190">
        <f>'PAINEL DE CONTROLE'!$J$5</f>
        <v>6544</v>
      </c>
      <c r="I94" s="190">
        <v>0.0</v>
      </c>
      <c r="J94" s="190">
        <f t="shared" si="3"/>
        <v>2000</v>
      </c>
      <c r="K94" s="190">
        <f t="shared" si="4"/>
        <v>-4544</v>
      </c>
      <c r="L94" s="60"/>
      <c r="M94" s="31"/>
      <c r="N94" s="61"/>
      <c r="O94" s="60"/>
      <c r="P94" s="31"/>
      <c r="Q94" s="61"/>
      <c r="R94" s="60"/>
      <c r="S94" s="31"/>
      <c r="T94" s="61"/>
      <c r="U94" s="60"/>
      <c r="V94" s="31"/>
      <c r="W94" s="61"/>
      <c r="X94" s="60"/>
      <c r="Y94" s="31"/>
      <c r="Z94" s="61"/>
      <c r="AA94" s="60"/>
      <c r="AB94" s="31"/>
      <c r="AC94" s="61"/>
      <c r="AD94" s="60"/>
      <c r="AE94" s="31"/>
      <c r="AF94" s="61"/>
      <c r="AG94" s="60"/>
      <c r="AH94" s="31"/>
      <c r="AI94" s="61"/>
      <c r="AJ94" s="60"/>
      <c r="AK94" s="31"/>
      <c r="AL94" s="61"/>
      <c r="AM94" s="60"/>
      <c r="AN94" s="31"/>
      <c r="AO94" s="61"/>
      <c r="AP94" s="60"/>
      <c r="AQ94" s="31"/>
      <c r="AR94" s="61"/>
      <c r="AS94" s="60"/>
      <c r="AT94" s="31"/>
      <c r="AU94" s="61"/>
    </row>
    <row r="95" ht="36.75" customHeight="1">
      <c r="A95" s="62"/>
      <c r="B95" s="156"/>
      <c r="C95" s="105" t="str">
        <f>VLOOKUP(D95,[1]Saldo!A94:B31367,2,0)</f>
        <v>#ERROR!</v>
      </c>
      <c r="D95" s="156" t="s">
        <v>746</v>
      </c>
      <c r="E95" s="156" t="s">
        <v>747</v>
      </c>
      <c r="F95" s="194">
        <v>2.0</v>
      </c>
      <c r="G95" s="191">
        <v>2000.0</v>
      </c>
      <c r="H95" s="190">
        <f>'PAINEL DE CONTROLE'!$J$5</f>
        <v>6544</v>
      </c>
      <c r="I95" s="190">
        <v>0.0</v>
      </c>
      <c r="J95" s="190">
        <f t="shared" si="3"/>
        <v>2000</v>
      </c>
      <c r="K95" s="190">
        <f t="shared" si="4"/>
        <v>-4544</v>
      </c>
      <c r="L95" s="60"/>
      <c r="M95" s="31"/>
      <c r="N95" s="61"/>
      <c r="O95" s="60"/>
      <c r="P95" s="31"/>
      <c r="Q95" s="61"/>
      <c r="R95" s="60"/>
      <c r="S95" s="31"/>
      <c r="T95" s="61"/>
      <c r="U95" s="60"/>
      <c r="V95" s="31"/>
      <c r="W95" s="61"/>
      <c r="X95" s="60"/>
      <c r="Y95" s="31"/>
      <c r="Z95" s="61"/>
      <c r="AA95" s="60"/>
      <c r="AB95" s="31"/>
      <c r="AC95" s="61"/>
      <c r="AD95" s="60"/>
      <c r="AE95" s="31"/>
      <c r="AF95" s="61"/>
      <c r="AG95" s="60"/>
      <c r="AH95" s="31"/>
      <c r="AI95" s="61"/>
      <c r="AJ95" s="60"/>
      <c r="AK95" s="31"/>
      <c r="AL95" s="61"/>
      <c r="AM95" s="60"/>
      <c r="AN95" s="31"/>
      <c r="AO95" s="61"/>
      <c r="AP95" s="60"/>
      <c r="AQ95" s="31"/>
      <c r="AR95" s="61"/>
      <c r="AS95" s="60"/>
      <c r="AT95" s="31"/>
      <c r="AU95" s="61"/>
    </row>
    <row r="96" ht="36.75" customHeight="1">
      <c r="A96" s="62"/>
      <c r="B96" s="156"/>
      <c r="C96" s="105" t="str">
        <f>VLOOKUP(D96,[1]Saldo!A95:B31368,2,0)</f>
        <v>#ERROR!</v>
      </c>
      <c r="D96" s="156" t="s">
        <v>748</v>
      </c>
      <c r="E96" s="156" t="s">
        <v>742</v>
      </c>
      <c r="F96" s="194">
        <v>4.0</v>
      </c>
      <c r="G96" s="191">
        <v>2000.0</v>
      </c>
      <c r="H96" s="190">
        <f>'PAINEL DE CONTROLE'!$J$5</f>
        <v>6544</v>
      </c>
      <c r="I96" s="190">
        <v>0.0</v>
      </c>
      <c r="J96" s="190">
        <f t="shared" si="3"/>
        <v>2000</v>
      </c>
      <c r="K96" s="190">
        <f t="shared" si="4"/>
        <v>-4544</v>
      </c>
      <c r="L96" s="60"/>
      <c r="M96" s="31"/>
      <c r="N96" s="61"/>
      <c r="O96" s="60"/>
      <c r="P96" s="31"/>
      <c r="Q96" s="61"/>
      <c r="R96" s="60"/>
      <c r="S96" s="31"/>
      <c r="T96" s="61"/>
      <c r="U96" s="60"/>
      <c r="V96" s="31"/>
      <c r="W96" s="61"/>
      <c r="X96" s="60"/>
      <c r="Y96" s="31"/>
      <c r="Z96" s="61"/>
      <c r="AA96" s="60"/>
      <c r="AB96" s="31"/>
      <c r="AC96" s="61"/>
      <c r="AD96" s="60"/>
      <c r="AE96" s="31"/>
      <c r="AF96" s="61"/>
      <c r="AG96" s="60"/>
      <c r="AH96" s="31"/>
      <c r="AI96" s="61"/>
      <c r="AJ96" s="60"/>
      <c r="AK96" s="31"/>
      <c r="AL96" s="61"/>
      <c r="AM96" s="60"/>
      <c r="AN96" s="31"/>
      <c r="AO96" s="61"/>
      <c r="AP96" s="60"/>
      <c r="AQ96" s="31"/>
      <c r="AR96" s="61"/>
      <c r="AS96" s="60"/>
      <c r="AT96" s="31"/>
      <c r="AU96" s="61"/>
    </row>
    <row r="97" ht="36.75" customHeight="1">
      <c r="A97" s="62"/>
      <c r="B97" s="156"/>
      <c r="C97" s="105" t="str">
        <f>VLOOKUP(D97,[1]Saldo!A96:B31369,2,0)</f>
        <v>#ERROR!</v>
      </c>
      <c r="D97" s="156" t="s">
        <v>749</v>
      </c>
      <c r="E97" s="156" t="s">
        <v>750</v>
      </c>
      <c r="F97" s="189">
        <v>2.0</v>
      </c>
      <c r="G97" s="191">
        <v>4000.0</v>
      </c>
      <c r="H97" s="190">
        <f>'PAINEL DE CONTROLE'!$J$5</f>
        <v>6544</v>
      </c>
      <c r="I97" s="190">
        <v>0.0</v>
      </c>
      <c r="J97" s="190">
        <f t="shared" si="3"/>
        <v>4000</v>
      </c>
      <c r="K97" s="190">
        <f t="shared" si="4"/>
        <v>-2544</v>
      </c>
      <c r="L97" s="60"/>
      <c r="M97" s="31"/>
      <c r="N97" s="61"/>
      <c r="O97" s="60"/>
      <c r="P97" s="31"/>
      <c r="Q97" s="61"/>
      <c r="R97" s="60"/>
      <c r="S97" s="31"/>
      <c r="T97" s="61"/>
      <c r="U97" s="60"/>
      <c r="V97" s="31"/>
      <c r="W97" s="61"/>
      <c r="X97" s="60"/>
      <c r="Y97" s="31"/>
      <c r="Z97" s="61"/>
      <c r="AA97" s="60"/>
      <c r="AB97" s="31"/>
      <c r="AC97" s="61"/>
      <c r="AD97" s="60"/>
      <c r="AE97" s="31"/>
      <c r="AF97" s="61"/>
      <c r="AG97" s="60"/>
      <c r="AH97" s="31"/>
      <c r="AI97" s="61"/>
      <c r="AJ97" s="60"/>
      <c r="AK97" s="31"/>
      <c r="AL97" s="61"/>
      <c r="AM97" s="60"/>
      <c r="AN97" s="31"/>
      <c r="AO97" s="61"/>
      <c r="AP97" s="60"/>
      <c r="AQ97" s="31"/>
      <c r="AR97" s="61"/>
      <c r="AS97" s="60"/>
      <c r="AT97" s="31"/>
      <c r="AU97" s="61"/>
    </row>
    <row r="98" ht="36.75" customHeight="1">
      <c r="A98" s="62"/>
      <c r="B98" s="156"/>
      <c r="C98" s="105" t="str">
        <f>VLOOKUP(D98,[1]Saldo!A97:B31370,2,0)</f>
        <v>#ERROR!</v>
      </c>
      <c r="D98" s="156" t="s">
        <v>751</v>
      </c>
      <c r="E98" s="156" t="s">
        <v>752</v>
      </c>
      <c r="F98" s="189">
        <v>4.0</v>
      </c>
      <c r="G98" s="191">
        <v>5000.0</v>
      </c>
      <c r="H98" s="190">
        <f>'PAINEL DE CONTROLE'!$J$5</f>
        <v>6544</v>
      </c>
      <c r="I98" s="190">
        <v>0.0</v>
      </c>
      <c r="J98" s="190">
        <f t="shared" si="3"/>
        <v>5000</v>
      </c>
      <c r="K98" s="190">
        <f t="shared" si="4"/>
        <v>-1544</v>
      </c>
      <c r="L98" s="60"/>
      <c r="M98" s="31"/>
      <c r="N98" s="61"/>
      <c r="O98" s="60"/>
      <c r="P98" s="31"/>
      <c r="Q98" s="61"/>
      <c r="R98" s="60"/>
      <c r="S98" s="31"/>
      <c r="T98" s="61"/>
      <c r="U98" s="60"/>
      <c r="V98" s="31"/>
      <c r="W98" s="61"/>
      <c r="X98" s="60"/>
      <c r="Y98" s="31"/>
      <c r="Z98" s="61"/>
      <c r="AA98" s="60"/>
      <c r="AB98" s="31"/>
      <c r="AC98" s="61"/>
      <c r="AD98" s="60"/>
      <c r="AE98" s="31"/>
      <c r="AF98" s="61"/>
      <c r="AG98" s="60"/>
      <c r="AH98" s="31"/>
      <c r="AI98" s="61"/>
      <c r="AJ98" s="60"/>
      <c r="AK98" s="31"/>
      <c r="AL98" s="61"/>
      <c r="AM98" s="60"/>
      <c r="AN98" s="31"/>
      <c r="AO98" s="61"/>
      <c r="AP98" s="60"/>
      <c r="AQ98" s="31"/>
      <c r="AR98" s="61"/>
      <c r="AS98" s="60"/>
      <c r="AT98" s="31"/>
      <c r="AU98" s="61"/>
    </row>
    <row r="99" ht="36.75" customHeight="1">
      <c r="A99" s="62"/>
      <c r="B99" s="156"/>
      <c r="C99" s="105" t="str">
        <f>VLOOKUP(D99,[1]Saldo!A98:B31371,2,0)</f>
        <v>#ERROR!</v>
      </c>
      <c r="D99" s="156" t="s">
        <v>753</v>
      </c>
      <c r="E99" s="156" t="s">
        <v>750</v>
      </c>
      <c r="F99" s="189">
        <v>4.0</v>
      </c>
      <c r="G99" s="191">
        <v>6000.0</v>
      </c>
      <c r="H99" s="190">
        <f>'PAINEL DE CONTROLE'!$J$5</f>
        <v>6544</v>
      </c>
      <c r="I99" s="190">
        <v>0.0</v>
      </c>
      <c r="J99" s="190">
        <f t="shared" si="3"/>
        <v>6000</v>
      </c>
      <c r="K99" s="190">
        <f t="shared" si="4"/>
        <v>-544</v>
      </c>
      <c r="L99" s="60"/>
      <c r="M99" s="31"/>
      <c r="N99" s="61"/>
      <c r="O99" s="60"/>
      <c r="P99" s="31"/>
      <c r="Q99" s="61"/>
      <c r="R99" s="60"/>
      <c r="S99" s="31"/>
      <c r="T99" s="61"/>
      <c r="U99" s="60"/>
      <c r="V99" s="31"/>
      <c r="W99" s="61"/>
      <c r="X99" s="60"/>
      <c r="Y99" s="31"/>
      <c r="Z99" s="61"/>
      <c r="AA99" s="60"/>
      <c r="AB99" s="31"/>
      <c r="AC99" s="61"/>
      <c r="AD99" s="60"/>
      <c r="AE99" s="31"/>
      <c r="AF99" s="61"/>
      <c r="AG99" s="60"/>
      <c r="AH99" s="31"/>
      <c r="AI99" s="61"/>
      <c r="AJ99" s="60"/>
      <c r="AK99" s="31"/>
      <c r="AL99" s="61"/>
      <c r="AM99" s="60"/>
      <c r="AN99" s="31"/>
      <c r="AO99" s="61"/>
      <c r="AP99" s="60"/>
      <c r="AQ99" s="31"/>
      <c r="AR99" s="61"/>
      <c r="AS99" s="60"/>
      <c r="AT99" s="31"/>
      <c r="AU99" s="61"/>
    </row>
    <row r="100" ht="36.75" customHeight="1">
      <c r="A100" s="62"/>
      <c r="B100" s="156"/>
      <c r="C100" s="105" t="str">
        <f>VLOOKUP(D100,[1]Saldo!A99:B31372,2,0)</f>
        <v>#ERROR!</v>
      </c>
      <c r="D100" s="156" t="s">
        <v>754</v>
      </c>
      <c r="E100" s="156" t="s">
        <v>755</v>
      </c>
      <c r="F100" s="189">
        <v>1.0</v>
      </c>
      <c r="G100" s="191">
        <v>6000.0</v>
      </c>
      <c r="H100" s="190">
        <f>'PAINEL DE CONTROLE'!$J$5</f>
        <v>6544</v>
      </c>
      <c r="I100" s="190">
        <v>0.0</v>
      </c>
      <c r="J100" s="190">
        <f t="shared" si="3"/>
        <v>6000</v>
      </c>
      <c r="K100" s="190">
        <f t="shared" si="4"/>
        <v>-544</v>
      </c>
      <c r="L100" s="60"/>
      <c r="M100" s="31"/>
      <c r="N100" s="61"/>
      <c r="O100" s="60"/>
      <c r="P100" s="31"/>
      <c r="Q100" s="61"/>
      <c r="R100" s="60"/>
      <c r="S100" s="31"/>
      <c r="T100" s="61"/>
      <c r="U100" s="60"/>
      <c r="V100" s="31"/>
      <c r="W100" s="61"/>
      <c r="X100" s="60"/>
      <c r="Y100" s="31"/>
      <c r="Z100" s="61"/>
      <c r="AA100" s="60"/>
      <c r="AB100" s="31"/>
      <c r="AC100" s="61"/>
      <c r="AD100" s="60"/>
      <c r="AE100" s="31"/>
      <c r="AF100" s="61"/>
      <c r="AG100" s="60"/>
      <c r="AH100" s="31"/>
      <c r="AI100" s="61"/>
      <c r="AJ100" s="60"/>
      <c r="AK100" s="31"/>
      <c r="AL100" s="61"/>
      <c r="AM100" s="60"/>
      <c r="AN100" s="31"/>
      <c r="AO100" s="61"/>
      <c r="AP100" s="60"/>
      <c r="AQ100" s="31"/>
      <c r="AR100" s="61"/>
      <c r="AS100" s="60"/>
      <c r="AT100" s="31"/>
      <c r="AU100" s="61"/>
    </row>
    <row r="101" ht="36.75" customHeight="1">
      <c r="A101" s="62"/>
      <c r="B101" s="156"/>
      <c r="C101" s="105" t="str">
        <f>VLOOKUP(D101,[1]Saldo!A100:B31373,2,0)</f>
        <v>#ERROR!</v>
      </c>
      <c r="D101" s="156" t="s">
        <v>756</v>
      </c>
      <c r="E101" s="156" t="s">
        <v>755</v>
      </c>
      <c r="F101" s="189">
        <v>1.0</v>
      </c>
      <c r="G101" s="191">
        <v>6000.0</v>
      </c>
      <c r="H101" s="190">
        <f>'PAINEL DE CONTROLE'!$J$5</f>
        <v>6544</v>
      </c>
      <c r="I101" s="190">
        <v>0.0</v>
      </c>
      <c r="J101" s="190">
        <f t="shared" si="3"/>
        <v>6000</v>
      </c>
      <c r="K101" s="190">
        <f t="shared" si="4"/>
        <v>-544</v>
      </c>
      <c r="L101" s="60"/>
      <c r="M101" s="31"/>
      <c r="N101" s="61"/>
      <c r="O101" s="60"/>
      <c r="P101" s="31"/>
      <c r="Q101" s="61"/>
      <c r="R101" s="60"/>
      <c r="S101" s="31"/>
      <c r="T101" s="61"/>
      <c r="U101" s="60"/>
      <c r="V101" s="31"/>
      <c r="W101" s="61"/>
      <c r="X101" s="60"/>
      <c r="Y101" s="31"/>
      <c r="Z101" s="61"/>
      <c r="AA101" s="60"/>
      <c r="AB101" s="31"/>
      <c r="AC101" s="61"/>
      <c r="AD101" s="60"/>
      <c r="AE101" s="31"/>
      <c r="AF101" s="61"/>
      <c r="AG101" s="60"/>
      <c r="AH101" s="31"/>
      <c r="AI101" s="61"/>
      <c r="AJ101" s="60"/>
      <c r="AK101" s="31"/>
      <c r="AL101" s="61"/>
      <c r="AM101" s="60"/>
      <c r="AN101" s="31"/>
      <c r="AO101" s="61"/>
      <c r="AP101" s="60"/>
      <c r="AQ101" s="31"/>
      <c r="AR101" s="61"/>
      <c r="AS101" s="60"/>
      <c r="AT101" s="31"/>
      <c r="AU101" s="61"/>
    </row>
    <row r="102" ht="36.75" customHeight="1">
      <c r="A102" s="62"/>
      <c r="B102" s="156"/>
      <c r="C102" s="105" t="str">
        <f>VLOOKUP(D102,[1]Saldo!A101:B31374,2,0)</f>
        <v>#ERROR!</v>
      </c>
      <c r="D102" s="156" t="s">
        <v>757</v>
      </c>
      <c r="E102" s="156" t="s">
        <v>755</v>
      </c>
      <c r="F102" s="189">
        <v>1.0</v>
      </c>
      <c r="G102" s="191">
        <v>6000.0</v>
      </c>
      <c r="H102" s="190">
        <f>'PAINEL DE CONTROLE'!$J$5</f>
        <v>6544</v>
      </c>
      <c r="I102" s="190">
        <v>0.0</v>
      </c>
      <c r="J102" s="190">
        <f t="shared" si="3"/>
        <v>6000</v>
      </c>
      <c r="K102" s="190">
        <f t="shared" si="4"/>
        <v>-544</v>
      </c>
      <c r="L102" s="60"/>
      <c r="M102" s="31"/>
      <c r="N102" s="61"/>
      <c r="O102" s="60"/>
      <c r="P102" s="31"/>
      <c r="Q102" s="61"/>
      <c r="R102" s="60"/>
      <c r="S102" s="31"/>
      <c r="T102" s="61"/>
      <c r="U102" s="60"/>
      <c r="V102" s="31"/>
      <c r="W102" s="61"/>
      <c r="X102" s="60"/>
      <c r="Y102" s="31"/>
      <c r="Z102" s="61"/>
      <c r="AA102" s="60"/>
      <c r="AB102" s="31"/>
      <c r="AC102" s="61"/>
      <c r="AD102" s="60"/>
      <c r="AE102" s="31"/>
      <c r="AF102" s="61"/>
      <c r="AG102" s="60"/>
      <c r="AH102" s="31"/>
      <c r="AI102" s="61"/>
      <c r="AJ102" s="60"/>
      <c r="AK102" s="31"/>
      <c r="AL102" s="61"/>
      <c r="AM102" s="60"/>
      <c r="AN102" s="31"/>
      <c r="AO102" s="61"/>
      <c r="AP102" s="60"/>
      <c r="AQ102" s="31"/>
      <c r="AR102" s="61"/>
      <c r="AS102" s="60"/>
      <c r="AT102" s="31"/>
      <c r="AU102" s="61"/>
    </row>
    <row r="103" ht="36.75" customHeight="1">
      <c r="A103" s="63"/>
      <c r="B103" s="156"/>
      <c r="C103" s="105" t="str">
        <f>VLOOKUP(D103,[1]Saldo!A102:B31375,2,0)</f>
        <v>#ERROR!</v>
      </c>
      <c r="D103" s="156" t="s">
        <v>758</v>
      </c>
      <c r="E103" s="156" t="s">
        <v>755</v>
      </c>
      <c r="F103" s="189">
        <v>1.0</v>
      </c>
      <c r="G103" s="191">
        <v>6000.0</v>
      </c>
      <c r="H103" s="190">
        <f>'PAINEL DE CONTROLE'!$J$5</f>
        <v>6544</v>
      </c>
      <c r="I103" s="190">
        <v>0.0</v>
      </c>
      <c r="J103" s="190">
        <f t="shared" si="3"/>
        <v>6000</v>
      </c>
      <c r="K103" s="190">
        <f t="shared" si="4"/>
        <v>-544</v>
      </c>
      <c r="L103" s="60"/>
      <c r="M103" s="31"/>
      <c r="N103" s="61"/>
      <c r="O103" s="60"/>
      <c r="P103" s="31"/>
      <c r="Q103" s="61"/>
      <c r="R103" s="60"/>
      <c r="S103" s="31"/>
      <c r="T103" s="61"/>
      <c r="U103" s="60"/>
      <c r="V103" s="31"/>
      <c r="W103" s="61"/>
      <c r="X103" s="60"/>
      <c r="Y103" s="31"/>
      <c r="Z103" s="61"/>
      <c r="AA103" s="60"/>
      <c r="AB103" s="31"/>
      <c r="AC103" s="61"/>
      <c r="AD103" s="60"/>
      <c r="AE103" s="31"/>
      <c r="AF103" s="61"/>
      <c r="AG103" s="60"/>
      <c r="AH103" s="31"/>
      <c r="AI103" s="61"/>
      <c r="AJ103" s="60"/>
      <c r="AK103" s="31"/>
      <c r="AL103" s="61"/>
      <c r="AM103" s="60"/>
      <c r="AN103" s="31"/>
      <c r="AO103" s="61"/>
      <c r="AP103" s="60"/>
      <c r="AQ103" s="31"/>
      <c r="AR103" s="61"/>
      <c r="AS103" s="60"/>
      <c r="AT103" s="31"/>
      <c r="AU103" s="61"/>
    </row>
    <row r="104" ht="36.75" customHeight="1">
      <c r="A104" s="147" t="s">
        <v>52</v>
      </c>
      <c r="B104" s="156"/>
      <c r="C104" s="105" t="str">
        <f>VLOOKUP(D104,[1]Saldo!A103:B31376,2,0)</f>
        <v>#ERROR!</v>
      </c>
      <c r="D104" s="156" t="s">
        <v>759</v>
      </c>
      <c r="E104" s="156" t="s">
        <v>618</v>
      </c>
      <c r="F104" s="189">
        <v>2.0</v>
      </c>
      <c r="G104" s="191">
        <v>2000.0</v>
      </c>
      <c r="H104" s="190">
        <f>'PAINEL DE CONTROLE'!$J$5</f>
        <v>6544</v>
      </c>
      <c r="I104" s="190">
        <v>0.0</v>
      </c>
      <c r="J104" s="190">
        <f t="shared" si="3"/>
        <v>2000</v>
      </c>
      <c r="K104" s="190">
        <f t="shared" si="4"/>
        <v>-4544</v>
      </c>
      <c r="L104" s="60"/>
      <c r="M104" s="31"/>
      <c r="N104" s="61"/>
      <c r="O104" s="60"/>
      <c r="P104" s="31"/>
      <c r="Q104" s="61"/>
      <c r="R104" s="60"/>
      <c r="S104" s="31"/>
      <c r="T104" s="61"/>
      <c r="U104" s="60"/>
      <c r="V104" s="31"/>
      <c r="W104" s="61"/>
      <c r="X104" s="60"/>
      <c r="Y104" s="31"/>
      <c r="Z104" s="61"/>
      <c r="AA104" s="60"/>
      <c r="AB104" s="31"/>
      <c r="AC104" s="61"/>
      <c r="AD104" s="60"/>
      <c r="AE104" s="31"/>
      <c r="AF104" s="61"/>
      <c r="AG104" s="60"/>
      <c r="AH104" s="31"/>
      <c r="AI104" s="61"/>
      <c r="AJ104" s="60"/>
      <c r="AK104" s="31"/>
      <c r="AL104" s="61"/>
      <c r="AM104" s="60"/>
      <c r="AN104" s="31"/>
      <c r="AO104" s="61"/>
      <c r="AP104" s="60"/>
      <c r="AQ104" s="31"/>
      <c r="AR104" s="61"/>
      <c r="AS104" s="60"/>
      <c r="AT104" s="31"/>
      <c r="AU104" s="61"/>
    </row>
    <row r="105" ht="36.75" customHeight="1">
      <c r="A105" s="62"/>
      <c r="B105" s="156"/>
      <c r="C105" s="105" t="str">
        <f>VLOOKUP(D105,[1]Saldo!A104:B31377,2,0)</f>
        <v>#ERROR!</v>
      </c>
      <c r="D105" s="156" t="s">
        <v>760</v>
      </c>
      <c r="E105" s="156" t="s">
        <v>618</v>
      </c>
      <c r="F105" s="189">
        <v>2.0</v>
      </c>
      <c r="G105" s="191">
        <v>2000.0</v>
      </c>
      <c r="H105" s="190">
        <f>'PAINEL DE CONTROLE'!$J$5</f>
        <v>6544</v>
      </c>
      <c r="I105" s="190">
        <v>0.0</v>
      </c>
      <c r="J105" s="190">
        <f t="shared" si="3"/>
        <v>2000</v>
      </c>
      <c r="K105" s="190">
        <f t="shared" si="4"/>
        <v>-4544</v>
      </c>
      <c r="L105" s="60"/>
      <c r="M105" s="31"/>
      <c r="N105" s="61"/>
      <c r="O105" s="60"/>
      <c r="P105" s="31"/>
      <c r="Q105" s="61"/>
      <c r="R105" s="60"/>
      <c r="S105" s="31"/>
      <c r="T105" s="61"/>
      <c r="U105" s="60"/>
      <c r="V105" s="31"/>
      <c r="W105" s="61"/>
      <c r="X105" s="60"/>
      <c r="Y105" s="31"/>
      <c r="Z105" s="61"/>
      <c r="AA105" s="60"/>
      <c r="AB105" s="31"/>
      <c r="AC105" s="61"/>
      <c r="AD105" s="60"/>
      <c r="AE105" s="31"/>
      <c r="AF105" s="61"/>
      <c r="AG105" s="60"/>
      <c r="AH105" s="31"/>
      <c r="AI105" s="61"/>
      <c r="AJ105" s="60"/>
      <c r="AK105" s="31"/>
      <c r="AL105" s="61"/>
      <c r="AM105" s="60"/>
      <c r="AN105" s="31"/>
      <c r="AO105" s="61"/>
      <c r="AP105" s="60"/>
      <c r="AQ105" s="31"/>
      <c r="AR105" s="61"/>
      <c r="AS105" s="60"/>
      <c r="AT105" s="31"/>
      <c r="AU105" s="61"/>
    </row>
    <row r="106" ht="36.75" customHeight="1">
      <c r="A106" s="62"/>
      <c r="B106" s="156"/>
      <c r="C106" s="105" t="str">
        <f>VLOOKUP(D106,[1]Saldo!A105:B31378,2,0)</f>
        <v>#ERROR!</v>
      </c>
      <c r="D106" s="156" t="s">
        <v>761</v>
      </c>
      <c r="E106" s="156" t="s">
        <v>732</v>
      </c>
      <c r="F106" s="189">
        <v>1.0</v>
      </c>
      <c r="G106" s="191">
        <v>2000.0</v>
      </c>
      <c r="H106" s="190">
        <f>'PAINEL DE CONTROLE'!$J$5</f>
        <v>6544</v>
      </c>
      <c r="I106" s="190">
        <v>0.0</v>
      </c>
      <c r="J106" s="190">
        <f t="shared" si="3"/>
        <v>2000</v>
      </c>
      <c r="K106" s="190">
        <f t="shared" si="4"/>
        <v>-4544</v>
      </c>
      <c r="L106" s="60"/>
      <c r="M106" s="31"/>
      <c r="N106" s="61"/>
      <c r="O106" s="60"/>
      <c r="P106" s="31"/>
      <c r="Q106" s="61"/>
      <c r="R106" s="60"/>
      <c r="S106" s="31"/>
      <c r="T106" s="61"/>
      <c r="U106" s="60"/>
      <c r="V106" s="31"/>
      <c r="W106" s="61"/>
      <c r="X106" s="60"/>
      <c r="Y106" s="31"/>
      <c r="Z106" s="61"/>
      <c r="AA106" s="60"/>
      <c r="AB106" s="31"/>
      <c r="AC106" s="61"/>
      <c r="AD106" s="60"/>
      <c r="AE106" s="31"/>
      <c r="AF106" s="61"/>
      <c r="AG106" s="60"/>
      <c r="AH106" s="31"/>
      <c r="AI106" s="61"/>
      <c r="AJ106" s="60"/>
      <c r="AK106" s="31"/>
      <c r="AL106" s="61"/>
      <c r="AM106" s="60"/>
      <c r="AN106" s="31"/>
      <c r="AO106" s="61"/>
      <c r="AP106" s="60"/>
      <c r="AQ106" s="31"/>
      <c r="AR106" s="61"/>
      <c r="AS106" s="60"/>
      <c r="AT106" s="31"/>
      <c r="AU106" s="61"/>
    </row>
    <row r="107" ht="36.75" customHeight="1">
      <c r="A107" s="62"/>
      <c r="B107" s="156"/>
      <c r="C107" s="105" t="str">
        <f>VLOOKUP(D107,[1]Saldo!A106:B31379,2,0)</f>
        <v>#ERROR!</v>
      </c>
      <c r="D107" s="156" t="s">
        <v>762</v>
      </c>
      <c r="E107" s="156" t="s">
        <v>618</v>
      </c>
      <c r="F107" s="189">
        <v>2.0</v>
      </c>
      <c r="G107" s="191">
        <v>2000.0</v>
      </c>
      <c r="H107" s="190">
        <f>'PAINEL DE CONTROLE'!$J$5</f>
        <v>6544</v>
      </c>
      <c r="I107" s="190">
        <v>0.0</v>
      </c>
      <c r="J107" s="190">
        <f t="shared" si="3"/>
        <v>2000</v>
      </c>
      <c r="K107" s="190">
        <f t="shared" si="4"/>
        <v>-4544</v>
      </c>
      <c r="L107" s="60"/>
      <c r="M107" s="31"/>
      <c r="N107" s="61"/>
      <c r="O107" s="60"/>
      <c r="P107" s="31"/>
      <c r="Q107" s="61"/>
      <c r="R107" s="60"/>
      <c r="S107" s="31"/>
      <c r="T107" s="61"/>
      <c r="U107" s="60"/>
      <c r="V107" s="31"/>
      <c r="W107" s="61"/>
      <c r="X107" s="60"/>
      <c r="Y107" s="31"/>
      <c r="Z107" s="61"/>
      <c r="AA107" s="60"/>
      <c r="AB107" s="31"/>
      <c r="AC107" s="61"/>
      <c r="AD107" s="60"/>
      <c r="AE107" s="31"/>
      <c r="AF107" s="61"/>
      <c r="AG107" s="60"/>
      <c r="AH107" s="31"/>
      <c r="AI107" s="61"/>
      <c r="AJ107" s="60"/>
      <c r="AK107" s="31"/>
      <c r="AL107" s="61"/>
      <c r="AM107" s="60"/>
      <c r="AN107" s="31"/>
      <c r="AO107" s="61"/>
      <c r="AP107" s="60"/>
      <c r="AQ107" s="31"/>
      <c r="AR107" s="61"/>
      <c r="AS107" s="60"/>
      <c r="AT107" s="31"/>
      <c r="AU107" s="61"/>
    </row>
    <row r="108" ht="36.75" customHeight="1">
      <c r="A108" s="63"/>
      <c r="B108" s="156"/>
      <c r="C108" s="105" t="str">
        <f>VLOOKUP(D108,[1]Saldo!A107:B31380,2,0)</f>
        <v>#ERROR!</v>
      </c>
      <c r="D108" s="156" t="s">
        <v>763</v>
      </c>
      <c r="E108" s="156" t="s">
        <v>618</v>
      </c>
      <c r="F108" s="189">
        <v>1.0</v>
      </c>
      <c r="G108" s="191">
        <v>2000.0</v>
      </c>
      <c r="H108" s="190">
        <f>'PAINEL DE CONTROLE'!$J$5</f>
        <v>6544</v>
      </c>
      <c r="I108" s="190">
        <v>0.0</v>
      </c>
      <c r="J108" s="190">
        <f t="shared" si="3"/>
        <v>2000</v>
      </c>
      <c r="K108" s="190">
        <f t="shared" si="4"/>
        <v>-4544</v>
      </c>
      <c r="L108" s="60"/>
      <c r="M108" s="31"/>
      <c r="N108" s="61"/>
      <c r="O108" s="60"/>
      <c r="P108" s="31"/>
      <c r="Q108" s="61"/>
      <c r="R108" s="60"/>
      <c r="S108" s="31"/>
      <c r="T108" s="61"/>
      <c r="U108" s="60"/>
      <c r="V108" s="31"/>
      <c r="W108" s="61"/>
      <c r="X108" s="60"/>
      <c r="Y108" s="31"/>
      <c r="Z108" s="61"/>
      <c r="AA108" s="60"/>
      <c r="AB108" s="31"/>
      <c r="AC108" s="61"/>
      <c r="AD108" s="60"/>
      <c r="AE108" s="31"/>
      <c r="AF108" s="61"/>
      <c r="AG108" s="60"/>
      <c r="AH108" s="31"/>
      <c r="AI108" s="61"/>
      <c r="AJ108" s="60"/>
      <c r="AK108" s="31"/>
      <c r="AL108" s="61"/>
      <c r="AM108" s="60"/>
      <c r="AN108" s="31"/>
      <c r="AO108" s="61"/>
      <c r="AP108" s="60"/>
      <c r="AQ108" s="31"/>
      <c r="AR108" s="61"/>
      <c r="AS108" s="60"/>
      <c r="AT108" s="31"/>
      <c r="AU108" s="61"/>
    </row>
    <row r="109" ht="36.75" customHeight="1">
      <c r="A109" s="147" t="s">
        <v>53</v>
      </c>
      <c r="B109" s="156"/>
      <c r="C109" s="105" t="str">
        <f>VLOOKUP(D109,[1]Saldo!A108:B31381,2,0)</f>
        <v>#ERROR!</v>
      </c>
      <c r="D109" s="156" t="s">
        <v>764</v>
      </c>
      <c r="E109" s="156" t="s">
        <v>720</v>
      </c>
      <c r="F109" s="189">
        <v>1.0</v>
      </c>
      <c r="G109" s="191">
        <v>2000.0</v>
      </c>
      <c r="H109" s="190">
        <f>'PAINEL DE CONTROLE'!$J$5</f>
        <v>6544</v>
      </c>
      <c r="I109" s="190">
        <v>0.0</v>
      </c>
      <c r="J109" s="190">
        <f t="shared" si="3"/>
        <v>2000</v>
      </c>
      <c r="K109" s="190">
        <f t="shared" si="4"/>
        <v>-4544</v>
      </c>
      <c r="L109" s="60"/>
      <c r="M109" s="31"/>
      <c r="N109" s="61"/>
      <c r="O109" s="60"/>
      <c r="P109" s="31"/>
      <c r="Q109" s="61"/>
      <c r="R109" s="60"/>
      <c r="S109" s="31"/>
      <c r="T109" s="61"/>
      <c r="U109" s="60"/>
      <c r="V109" s="31"/>
      <c r="W109" s="61"/>
      <c r="X109" s="60"/>
      <c r="Y109" s="31"/>
      <c r="Z109" s="61"/>
      <c r="AA109" s="60"/>
      <c r="AB109" s="31"/>
      <c r="AC109" s="61"/>
      <c r="AD109" s="60"/>
      <c r="AE109" s="31"/>
      <c r="AF109" s="61"/>
      <c r="AG109" s="60"/>
      <c r="AH109" s="31"/>
      <c r="AI109" s="61"/>
      <c r="AJ109" s="60"/>
      <c r="AK109" s="31"/>
      <c r="AL109" s="61"/>
      <c r="AM109" s="60"/>
      <c r="AN109" s="31"/>
      <c r="AO109" s="61"/>
      <c r="AP109" s="60"/>
      <c r="AQ109" s="31"/>
      <c r="AR109" s="61"/>
      <c r="AS109" s="60"/>
      <c r="AT109" s="31"/>
      <c r="AU109" s="61"/>
    </row>
    <row r="110" ht="36.75" customHeight="1">
      <c r="A110" s="62"/>
      <c r="B110" s="156"/>
      <c r="C110" s="105" t="str">
        <f>VLOOKUP(D110,[1]Saldo!A109:B31382,2,0)</f>
        <v>#ERROR!</v>
      </c>
      <c r="D110" s="156" t="s">
        <v>765</v>
      </c>
      <c r="E110" s="156" t="s">
        <v>680</v>
      </c>
      <c r="F110" s="189">
        <v>1.0</v>
      </c>
      <c r="G110" s="191">
        <v>2000.0</v>
      </c>
      <c r="H110" s="190">
        <f>'PAINEL DE CONTROLE'!$J$5</f>
        <v>6544</v>
      </c>
      <c r="I110" s="190">
        <v>0.0</v>
      </c>
      <c r="J110" s="190">
        <f t="shared" si="3"/>
        <v>2000</v>
      </c>
      <c r="K110" s="190">
        <f t="shared" si="4"/>
        <v>-4544</v>
      </c>
      <c r="L110" s="60"/>
      <c r="M110" s="31"/>
      <c r="N110" s="61"/>
      <c r="O110" s="60"/>
      <c r="P110" s="31"/>
      <c r="Q110" s="61"/>
      <c r="R110" s="60"/>
      <c r="S110" s="31"/>
      <c r="T110" s="61"/>
      <c r="U110" s="60"/>
      <c r="V110" s="31"/>
      <c r="W110" s="61"/>
      <c r="X110" s="60"/>
      <c r="Y110" s="31"/>
      <c r="Z110" s="61"/>
      <c r="AA110" s="60"/>
      <c r="AB110" s="31"/>
      <c r="AC110" s="61"/>
      <c r="AD110" s="60"/>
      <c r="AE110" s="31"/>
      <c r="AF110" s="61"/>
      <c r="AG110" s="60"/>
      <c r="AH110" s="31"/>
      <c r="AI110" s="61"/>
      <c r="AJ110" s="60"/>
      <c r="AK110" s="31"/>
      <c r="AL110" s="61"/>
      <c r="AM110" s="60"/>
      <c r="AN110" s="31"/>
      <c r="AO110" s="61"/>
      <c r="AP110" s="60"/>
      <c r="AQ110" s="31"/>
      <c r="AR110" s="61"/>
      <c r="AS110" s="60"/>
      <c r="AT110" s="31"/>
      <c r="AU110" s="61"/>
    </row>
    <row r="111" ht="36.75" customHeight="1">
      <c r="A111" s="62"/>
      <c r="B111" s="156"/>
      <c r="C111" s="105" t="str">
        <f>VLOOKUP(D111,[1]Saldo!A110:B31383,2,0)</f>
        <v>#ERROR!</v>
      </c>
      <c r="D111" s="156" t="s">
        <v>766</v>
      </c>
      <c r="E111" s="156" t="s">
        <v>680</v>
      </c>
      <c r="F111" s="189">
        <v>1.0</v>
      </c>
      <c r="G111" s="191">
        <v>2000.0</v>
      </c>
      <c r="H111" s="190">
        <f>'PAINEL DE CONTROLE'!$J$5</f>
        <v>6544</v>
      </c>
      <c r="I111" s="190">
        <v>0.0</v>
      </c>
      <c r="J111" s="190">
        <f t="shared" si="3"/>
        <v>2000</v>
      </c>
      <c r="K111" s="190">
        <f t="shared" si="4"/>
        <v>-4544</v>
      </c>
      <c r="L111" s="60"/>
      <c r="M111" s="31"/>
      <c r="N111" s="61"/>
      <c r="O111" s="60"/>
      <c r="P111" s="31"/>
      <c r="Q111" s="61"/>
      <c r="R111" s="60"/>
      <c r="S111" s="31"/>
      <c r="T111" s="61"/>
      <c r="U111" s="60"/>
      <c r="V111" s="31"/>
      <c r="W111" s="61"/>
      <c r="X111" s="60"/>
      <c r="Y111" s="31"/>
      <c r="Z111" s="61"/>
      <c r="AA111" s="60"/>
      <c r="AB111" s="31"/>
      <c r="AC111" s="61"/>
      <c r="AD111" s="60"/>
      <c r="AE111" s="31"/>
      <c r="AF111" s="61"/>
      <c r="AG111" s="60"/>
      <c r="AH111" s="31"/>
      <c r="AI111" s="61"/>
      <c r="AJ111" s="60"/>
      <c r="AK111" s="31"/>
      <c r="AL111" s="61"/>
      <c r="AM111" s="60"/>
      <c r="AN111" s="31"/>
      <c r="AO111" s="61"/>
      <c r="AP111" s="60"/>
      <c r="AQ111" s="31"/>
      <c r="AR111" s="61"/>
      <c r="AS111" s="60"/>
      <c r="AT111" s="31"/>
      <c r="AU111" s="61"/>
    </row>
    <row r="112" ht="36.75" customHeight="1">
      <c r="A112" s="62"/>
      <c r="B112" s="156"/>
      <c r="C112" s="105" t="str">
        <f>VLOOKUP(D112,[1]Saldo!A111:B31384,2,0)</f>
        <v>#ERROR!</v>
      </c>
      <c r="D112" s="156" t="s">
        <v>767</v>
      </c>
      <c r="E112" s="156" t="s">
        <v>680</v>
      </c>
      <c r="F112" s="189">
        <v>4.0</v>
      </c>
      <c r="G112" s="191">
        <v>2000.0</v>
      </c>
      <c r="H112" s="190">
        <f>'PAINEL DE CONTROLE'!$J$5</f>
        <v>6544</v>
      </c>
      <c r="I112" s="190">
        <v>1098.0</v>
      </c>
      <c r="J112" s="190">
        <f t="shared" si="3"/>
        <v>3098</v>
      </c>
      <c r="K112" s="190">
        <f t="shared" si="4"/>
        <v>-3446</v>
      </c>
      <c r="L112" s="60"/>
      <c r="M112" s="31"/>
      <c r="N112" s="61"/>
      <c r="O112" s="60"/>
      <c r="P112" s="31"/>
      <c r="Q112" s="61"/>
      <c r="R112" s="60"/>
      <c r="S112" s="31"/>
      <c r="T112" s="61"/>
      <c r="U112" s="60"/>
      <c r="V112" s="31"/>
      <c r="W112" s="61"/>
      <c r="X112" s="60"/>
      <c r="Y112" s="31"/>
      <c r="Z112" s="61"/>
      <c r="AA112" s="60"/>
      <c r="AB112" s="31"/>
      <c r="AC112" s="61"/>
      <c r="AD112" s="60"/>
      <c r="AE112" s="31"/>
      <c r="AF112" s="61"/>
      <c r="AG112" s="60"/>
      <c r="AH112" s="31"/>
      <c r="AI112" s="61"/>
      <c r="AJ112" s="60"/>
      <c r="AK112" s="31"/>
      <c r="AL112" s="61"/>
      <c r="AM112" s="60"/>
      <c r="AN112" s="31"/>
      <c r="AO112" s="61"/>
      <c r="AP112" s="60"/>
      <c r="AQ112" s="31"/>
      <c r="AR112" s="61"/>
      <c r="AS112" s="60"/>
      <c r="AT112" s="31"/>
      <c r="AU112" s="61"/>
    </row>
    <row r="113" ht="36.75" customHeight="1">
      <c r="A113" s="62"/>
      <c r="B113" s="156"/>
      <c r="C113" s="105" t="str">
        <f>VLOOKUP(D113,[1]Saldo!A112:B31385,2,0)</f>
        <v>#ERROR!</v>
      </c>
      <c r="D113" s="156" t="s">
        <v>768</v>
      </c>
      <c r="E113" s="156" t="s">
        <v>720</v>
      </c>
      <c r="F113" s="189">
        <v>4.0</v>
      </c>
      <c r="G113" s="191">
        <v>2000.0</v>
      </c>
      <c r="H113" s="190">
        <f>'PAINEL DE CONTROLE'!$J$5</f>
        <v>6544</v>
      </c>
      <c r="I113" s="190">
        <v>1098.0</v>
      </c>
      <c r="J113" s="190">
        <f t="shared" si="3"/>
        <v>3098</v>
      </c>
      <c r="K113" s="190">
        <f t="shared" si="4"/>
        <v>-3446</v>
      </c>
      <c r="L113" s="60"/>
      <c r="M113" s="31"/>
      <c r="N113" s="61"/>
      <c r="O113" s="60"/>
      <c r="P113" s="31"/>
      <c r="Q113" s="61"/>
      <c r="R113" s="60"/>
      <c r="S113" s="31"/>
      <c r="T113" s="61"/>
      <c r="U113" s="60"/>
      <c r="V113" s="31"/>
      <c r="W113" s="61"/>
      <c r="X113" s="60"/>
      <c r="Y113" s="31"/>
      <c r="Z113" s="61"/>
      <c r="AA113" s="60"/>
      <c r="AB113" s="31"/>
      <c r="AC113" s="61"/>
      <c r="AD113" s="60"/>
      <c r="AE113" s="31"/>
      <c r="AF113" s="61"/>
      <c r="AG113" s="60"/>
      <c r="AH113" s="31"/>
      <c r="AI113" s="61"/>
      <c r="AJ113" s="60"/>
      <c r="AK113" s="31"/>
      <c r="AL113" s="61"/>
      <c r="AM113" s="60"/>
      <c r="AN113" s="31"/>
      <c r="AO113" s="61"/>
      <c r="AP113" s="60"/>
      <c r="AQ113" s="31"/>
      <c r="AR113" s="61"/>
      <c r="AS113" s="60"/>
      <c r="AT113" s="31"/>
      <c r="AU113" s="61"/>
    </row>
    <row r="114" ht="36.75" customHeight="1">
      <c r="A114" s="63"/>
      <c r="B114" s="156"/>
      <c r="C114" s="105" t="str">
        <f>VLOOKUP(D114,[1]Saldo!A113:B31386,2,0)</f>
        <v>#ERROR!</v>
      </c>
      <c r="D114" s="156" t="s">
        <v>769</v>
      </c>
      <c r="E114" s="156" t="s">
        <v>680</v>
      </c>
      <c r="F114" s="189">
        <v>2.0</v>
      </c>
      <c r="G114" s="191">
        <v>2000.0</v>
      </c>
      <c r="H114" s="190">
        <f>'PAINEL DE CONTROLE'!$J$5</f>
        <v>6544</v>
      </c>
      <c r="I114" s="190">
        <v>0.0</v>
      </c>
      <c r="J114" s="190">
        <f t="shared" si="3"/>
        <v>2000</v>
      </c>
      <c r="K114" s="190">
        <f t="shared" si="4"/>
        <v>-4544</v>
      </c>
      <c r="L114" s="60"/>
      <c r="M114" s="31"/>
      <c r="N114" s="61"/>
      <c r="O114" s="60"/>
      <c r="P114" s="31"/>
      <c r="Q114" s="61"/>
      <c r="R114" s="60"/>
      <c r="S114" s="31"/>
      <c r="T114" s="61"/>
      <c r="U114" s="60"/>
      <c r="V114" s="31"/>
      <c r="W114" s="61"/>
      <c r="X114" s="60"/>
      <c r="Y114" s="31"/>
      <c r="Z114" s="61"/>
      <c r="AA114" s="60"/>
      <c r="AB114" s="31"/>
      <c r="AC114" s="61"/>
      <c r="AD114" s="60"/>
      <c r="AE114" s="31"/>
      <c r="AF114" s="61"/>
      <c r="AG114" s="60"/>
      <c r="AH114" s="31"/>
      <c r="AI114" s="61"/>
      <c r="AJ114" s="60"/>
      <c r="AK114" s="31"/>
      <c r="AL114" s="61"/>
      <c r="AM114" s="60"/>
      <c r="AN114" s="31"/>
      <c r="AO114" s="61"/>
      <c r="AP114" s="60"/>
      <c r="AQ114" s="31"/>
      <c r="AR114" s="61"/>
      <c r="AS114" s="60"/>
      <c r="AT114" s="31"/>
      <c r="AU114" s="61"/>
    </row>
    <row r="115" ht="36.75" customHeight="1">
      <c r="A115" s="147" t="s">
        <v>54</v>
      </c>
      <c r="B115" s="156"/>
      <c r="C115" s="105" t="str">
        <f>VLOOKUP(D115,[1]Saldo!A114:B31387,2,0)</f>
        <v>#ERROR!</v>
      </c>
      <c r="D115" s="156" t="s">
        <v>770</v>
      </c>
      <c r="E115" s="156" t="s">
        <v>680</v>
      </c>
      <c r="F115" s="189">
        <v>2.0</v>
      </c>
      <c r="G115" s="191">
        <v>2000.0</v>
      </c>
      <c r="H115" s="190">
        <f>'PAINEL DE CONTROLE'!$J$5</f>
        <v>6544</v>
      </c>
      <c r="I115" s="190">
        <v>0.0</v>
      </c>
      <c r="J115" s="190">
        <f t="shared" si="3"/>
        <v>2000</v>
      </c>
      <c r="K115" s="190">
        <f t="shared" si="4"/>
        <v>-4544</v>
      </c>
      <c r="L115" s="60"/>
      <c r="M115" s="31"/>
      <c r="N115" s="61"/>
      <c r="O115" s="60"/>
      <c r="P115" s="31"/>
      <c r="Q115" s="61"/>
      <c r="R115" s="60"/>
      <c r="S115" s="31"/>
      <c r="T115" s="61"/>
      <c r="U115" s="60"/>
      <c r="V115" s="31"/>
      <c r="W115" s="61"/>
      <c r="X115" s="60"/>
      <c r="Y115" s="31"/>
      <c r="Z115" s="61"/>
      <c r="AA115" s="60"/>
      <c r="AB115" s="31"/>
      <c r="AC115" s="61"/>
      <c r="AD115" s="60"/>
      <c r="AE115" s="31"/>
      <c r="AF115" s="61"/>
      <c r="AG115" s="60"/>
      <c r="AH115" s="31"/>
      <c r="AI115" s="61"/>
      <c r="AJ115" s="60"/>
      <c r="AK115" s="31"/>
      <c r="AL115" s="61"/>
      <c r="AM115" s="60"/>
      <c r="AN115" s="31"/>
      <c r="AO115" s="61"/>
      <c r="AP115" s="60"/>
      <c r="AQ115" s="31"/>
      <c r="AR115" s="61"/>
      <c r="AS115" s="60"/>
      <c r="AT115" s="31"/>
      <c r="AU115" s="61"/>
    </row>
    <row r="116" ht="36.75" customHeight="1">
      <c r="A116" s="62"/>
      <c r="B116" s="156"/>
      <c r="C116" s="105" t="str">
        <f>VLOOKUP(D116,[1]Saldo!A115:B31388,2,0)</f>
        <v>#ERROR!</v>
      </c>
      <c r="D116" s="156" t="s">
        <v>771</v>
      </c>
      <c r="E116" s="156" t="s">
        <v>772</v>
      </c>
      <c r="F116" s="189">
        <v>1.0</v>
      </c>
      <c r="G116" s="191">
        <v>2000.0</v>
      </c>
      <c r="H116" s="190">
        <f>'PAINEL DE CONTROLE'!$J$5</f>
        <v>6544</v>
      </c>
      <c r="I116" s="190">
        <v>0.0</v>
      </c>
      <c r="J116" s="190">
        <f t="shared" si="3"/>
        <v>2000</v>
      </c>
      <c r="K116" s="190">
        <f t="shared" si="4"/>
        <v>-4544</v>
      </c>
      <c r="L116" s="60"/>
      <c r="M116" s="31"/>
      <c r="N116" s="61"/>
      <c r="O116" s="60"/>
      <c r="P116" s="31"/>
      <c r="Q116" s="61"/>
      <c r="R116" s="60"/>
      <c r="S116" s="31"/>
      <c r="T116" s="61"/>
      <c r="U116" s="60"/>
      <c r="V116" s="31"/>
      <c r="W116" s="61"/>
      <c r="X116" s="60"/>
      <c r="Y116" s="31"/>
      <c r="Z116" s="61"/>
      <c r="AA116" s="60"/>
      <c r="AB116" s="31"/>
      <c r="AC116" s="61"/>
      <c r="AD116" s="60"/>
      <c r="AE116" s="31"/>
      <c r="AF116" s="61"/>
      <c r="AG116" s="60"/>
      <c r="AH116" s="31"/>
      <c r="AI116" s="61"/>
      <c r="AJ116" s="60"/>
      <c r="AK116" s="31"/>
      <c r="AL116" s="61"/>
      <c r="AM116" s="60"/>
      <c r="AN116" s="31"/>
      <c r="AO116" s="61"/>
      <c r="AP116" s="60"/>
      <c r="AQ116" s="31"/>
      <c r="AR116" s="61"/>
      <c r="AS116" s="60"/>
      <c r="AT116" s="31"/>
      <c r="AU116" s="61"/>
    </row>
    <row r="117" ht="36.75" customHeight="1">
      <c r="A117" s="63"/>
      <c r="B117" s="156"/>
      <c r="C117" s="105" t="str">
        <f>VLOOKUP(D117,[1]Saldo!A116:B31389,2,0)</f>
        <v>#ERROR!</v>
      </c>
      <c r="D117" s="191" t="s">
        <v>773</v>
      </c>
      <c r="E117" s="156" t="s">
        <v>680</v>
      </c>
      <c r="F117" s="189">
        <v>2.0</v>
      </c>
      <c r="G117" s="191">
        <v>2000.0</v>
      </c>
      <c r="H117" s="190">
        <f>'PAINEL DE CONTROLE'!$J$5</f>
        <v>6544</v>
      </c>
      <c r="I117" s="190">
        <v>0.0</v>
      </c>
      <c r="J117" s="190">
        <f t="shared" si="3"/>
        <v>2000</v>
      </c>
      <c r="K117" s="190">
        <f t="shared" si="4"/>
        <v>-4544</v>
      </c>
      <c r="L117" s="60"/>
      <c r="M117" s="31"/>
      <c r="N117" s="61"/>
      <c r="O117" s="60"/>
      <c r="P117" s="31"/>
      <c r="Q117" s="61"/>
      <c r="R117" s="60"/>
      <c r="S117" s="31"/>
      <c r="T117" s="61"/>
      <c r="U117" s="60"/>
      <c r="V117" s="31"/>
      <c r="W117" s="61"/>
      <c r="X117" s="60"/>
      <c r="Y117" s="31"/>
      <c r="Z117" s="61"/>
      <c r="AA117" s="60"/>
      <c r="AB117" s="31"/>
      <c r="AC117" s="61"/>
      <c r="AD117" s="60"/>
      <c r="AE117" s="31"/>
      <c r="AF117" s="61"/>
      <c r="AG117" s="60"/>
      <c r="AH117" s="31"/>
      <c r="AI117" s="61"/>
      <c r="AJ117" s="60"/>
      <c r="AK117" s="31"/>
      <c r="AL117" s="61"/>
      <c r="AM117" s="60"/>
      <c r="AN117" s="31"/>
      <c r="AO117" s="61"/>
      <c r="AP117" s="60"/>
      <c r="AQ117" s="31"/>
      <c r="AR117" s="61"/>
      <c r="AS117" s="60"/>
      <c r="AT117" s="31"/>
      <c r="AU117" s="61"/>
    </row>
    <row r="118" ht="36.75" customHeight="1">
      <c r="A118" s="147" t="s">
        <v>55</v>
      </c>
      <c r="B118" s="193">
        <v>41.0</v>
      </c>
      <c r="C118" s="105" t="s">
        <v>774</v>
      </c>
      <c r="D118" s="191" t="s">
        <v>775</v>
      </c>
      <c r="E118" s="156" t="s">
        <v>776</v>
      </c>
      <c r="F118" s="189">
        <v>1.0</v>
      </c>
      <c r="G118" s="191">
        <v>1000.0</v>
      </c>
      <c r="H118" s="190">
        <f>'PAINEL DE CONTROLE'!$J$5</f>
        <v>6544</v>
      </c>
      <c r="I118" s="190">
        <v>1098.0</v>
      </c>
      <c r="J118" s="190">
        <f t="shared" si="3"/>
        <v>2098</v>
      </c>
      <c r="K118" s="190">
        <f t="shared" si="4"/>
        <v>-4446</v>
      </c>
      <c r="L118" s="60"/>
      <c r="M118" s="31"/>
      <c r="N118" s="61"/>
      <c r="O118" s="60"/>
      <c r="P118" s="31"/>
      <c r="Q118" s="61"/>
      <c r="R118" s="60"/>
      <c r="S118" s="31"/>
      <c r="T118" s="61"/>
      <c r="U118" s="60"/>
      <c r="V118" s="31"/>
      <c r="W118" s="61"/>
      <c r="X118" s="60"/>
      <c r="Y118" s="31"/>
      <c r="Z118" s="61"/>
      <c r="AA118" s="60"/>
      <c r="AB118" s="31"/>
      <c r="AC118" s="61"/>
      <c r="AD118" s="60"/>
      <c r="AE118" s="31"/>
      <c r="AF118" s="61"/>
      <c r="AG118" s="60"/>
      <c r="AH118" s="31"/>
      <c r="AI118" s="61"/>
      <c r="AJ118" s="60"/>
      <c r="AK118" s="31"/>
      <c r="AL118" s="61"/>
      <c r="AM118" s="60"/>
      <c r="AN118" s="31"/>
      <c r="AO118" s="61"/>
      <c r="AP118" s="60"/>
      <c r="AQ118" s="31"/>
      <c r="AR118" s="61"/>
      <c r="AS118" s="60"/>
      <c r="AT118" s="31"/>
      <c r="AU118" s="61"/>
    </row>
    <row r="119" ht="36.75" customHeight="1">
      <c r="A119" s="63"/>
      <c r="B119" s="193">
        <v>41.0</v>
      </c>
      <c r="C119" s="105" t="s">
        <v>777</v>
      </c>
      <c r="D119" s="191" t="s">
        <v>778</v>
      </c>
      <c r="E119" s="156" t="s">
        <v>672</v>
      </c>
      <c r="F119" s="189">
        <v>1.0</v>
      </c>
      <c r="G119" s="191">
        <v>1000.0</v>
      </c>
      <c r="H119" s="190">
        <f>'PAINEL DE CONTROLE'!$J$5</f>
        <v>6544</v>
      </c>
      <c r="I119" s="190">
        <v>0.0</v>
      </c>
      <c r="J119" s="190">
        <f t="shared" si="3"/>
        <v>1000</v>
      </c>
      <c r="K119" s="190">
        <f t="shared" si="4"/>
        <v>-5544</v>
      </c>
      <c r="L119" s="60"/>
      <c r="M119" s="31"/>
      <c r="N119" s="61"/>
      <c r="O119" s="60"/>
      <c r="P119" s="31"/>
      <c r="Q119" s="61"/>
      <c r="R119" s="60"/>
      <c r="S119" s="31"/>
      <c r="T119" s="61"/>
      <c r="U119" s="60"/>
      <c r="V119" s="31"/>
      <c r="W119" s="61"/>
      <c r="X119" s="60"/>
      <c r="Y119" s="31"/>
      <c r="Z119" s="61"/>
      <c r="AA119" s="60"/>
      <c r="AB119" s="31"/>
      <c r="AC119" s="61"/>
      <c r="AD119" s="60"/>
      <c r="AE119" s="31"/>
      <c r="AF119" s="61"/>
      <c r="AG119" s="60"/>
      <c r="AH119" s="31"/>
      <c r="AI119" s="61"/>
      <c r="AJ119" s="60"/>
      <c r="AK119" s="31"/>
      <c r="AL119" s="61"/>
      <c r="AM119" s="60"/>
      <c r="AN119" s="31"/>
      <c r="AO119" s="61"/>
      <c r="AP119" s="60"/>
      <c r="AQ119" s="31"/>
      <c r="AR119" s="61"/>
      <c r="AS119" s="60"/>
      <c r="AT119" s="31"/>
      <c r="AU119" s="61"/>
    </row>
    <row r="120" ht="36.75" customHeight="1">
      <c r="A120" s="147" t="s">
        <v>56</v>
      </c>
      <c r="B120" s="156"/>
      <c r="C120" s="105" t="str">
        <f>VLOOKUP(D120,[1]Saldo!A119:B31392,2,0)</f>
        <v>#ERROR!</v>
      </c>
      <c r="D120" s="191" t="s">
        <v>779</v>
      </c>
      <c r="E120" s="156" t="s">
        <v>672</v>
      </c>
      <c r="F120" s="189">
        <v>1.0</v>
      </c>
      <c r="G120" s="191">
        <v>5000.0</v>
      </c>
      <c r="H120" s="190">
        <f>'PAINEL DE CONTROLE'!$J$5</f>
        <v>6544</v>
      </c>
      <c r="I120" s="190">
        <v>0.0</v>
      </c>
      <c r="J120" s="190">
        <f t="shared" si="3"/>
        <v>5000</v>
      </c>
      <c r="K120" s="190">
        <f t="shared" si="4"/>
        <v>-1544</v>
      </c>
      <c r="L120" s="60"/>
      <c r="M120" s="31"/>
      <c r="N120" s="61"/>
      <c r="O120" s="60"/>
      <c r="P120" s="31"/>
      <c r="Q120" s="61"/>
      <c r="R120" s="60"/>
      <c r="S120" s="31"/>
      <c r="T120" s="61"/>
      <c r="U120" s="60"/>
      <c r="V120" s="31"/>
      <c r="W120" s="61"/>
      <c r="X120" s="60"/>
      <c r="Y120" s="31"/>
      <c r="Z120" s="61"/>
      <c r="AA120" s="60"/>
      <c r="AB120" s="31"/>
      <c r="AC120" s="61"/>
      <c r="AD120" s="60"/>
      <c r="AE120" s="31"/>
      <c r="AF120" s="61"/>
      <c r="AG120" s="60"/>
      <c r="AH120" s="31"/>
      <c r="AI120" s="61"/>
      <c r="AJ120" s="60"/>
      <c r="AK120" s="31"/>
      <c r="AL120" s="61"/>
      <c r="AM120" s="60"/>
      <c r="AN120" s="31"/>
      <c r="AO120" s="61"/>
      <c r="AP120" s="60"/>
      <c r="AQ120" s="31"/>
      <c r="AR120" s="61"/>
      <c r="AS120" s="60"/>
      <c r="AT120" s="31"/>
      <c r="AU120" s="61"/>
    </row>
    <row r="121" ht="36.75" customHeight="1">
      <c r="A121" s="62"/>
      <c r="B121" s="156"/>
      <c r="C121" s="105" t="str">
        <f>VLOOKUP(D121,[1]Saldo!A120:B31393,2,0)</f>
        <v>#ERROR!</v>
      </c>
      <c r="D121" s="191" t="s">
        <v>780</v>
      </c>
      <c r="E121" s="156" t="s">
        <v>781</v>
      </c>
      <c r="F121" s="189">
        <v>1.0</v>
      </c>
      <c r="G121" s="191">
        <v>5000.0</v>
      </c>
      <c r="H121" s="190">
        <f>'PAINEL DE CONTROLE'!$J$5</f>
        <v>6544</v>
      </c>
      <c r="I121" s="190">
        <v>0.0</v>
      </c>
      <c r="J121" s="190">
        <f t="shared" si="3"/>
        <v>5000</v>
      </c>
      <c r="K121" s="190">
        <f t="shared" si="4"/>
        <v>-1544</v>
      </c>
      <c r="L121" s="60"/>
      <c r="M121" s="31"/>
      <c r="N121" s="61"/>
      <c r="O121" s="60"/>
      <c r="P121" s="31"/>
      <c r="Q121" s="61"/>
      <c r="R121" s="60"/>
      <c r="S121" s="31"/>
      <c r="T121" s="61"/>
      <c r="U121" s="60"/>
      <c r="V121" s="31"/>
      <c r="W121" s="61"/>
      <c r="X121" s="60"/>
      <c r="Y121" s="31"/>
      <c r="Z121" s="61"/>
      <c r="AA121" s="60"/>
      <c r="AB121" s="31"/>
      <c r="AC121" s="61"/>
      <c r="AD121" s="60"/>
      <c r="AE121" s="31"/>
      <c r="AF121" s="61"/>
      <c r="AG121" s="60"/>
      <c r="AH121" s="31"/>
      <c r="AI121" s="61"/>
      <c r="AJ121" s="60"/>
      <c r="AK121" s="31"/>
      <c r="AL121" s="61"/>
      <c r="AM121" s="60"/>
      <c r="AN121" s="31"/>
      <c r="AO121" s="61"/>
      <c r="AP121" s="60"/>
      <c r="AQ121" s="31"/>
      <c r="AR121" s="61"/>
      <c r="AS121" s="60"/>
      <c r="AT121" s="31"/>
      <c r="AU121" s="61"/>
    </row>
    <row r="122" ht="36.75" customHeight="1">
      <c r="A122" s="62"/>
      <c r="B122" s="156"/>
      <c r="C122" s="105" t="str">
        <f>VLOOKUP(D122,[1]Saldo!A121:B31394,2,0)</f>
        <v>#ERROR!</v>
      </c>
      <c r="D122" s="191" t="s">
        <v>639</v>
      </c>
      <c r="E122" s="156" t="s">
        <v>624</v>
      </c>
      <c r="F122" s="189">
        <v>2.0</v>
      </c>
      <c r="G122" s="191">
        <v>5000.0</v>
      </c>
      <c r="H122" s="190">
        <f>'PAINEL DE CONTROLE'!$J$5</f>
        <v>6544</v>
      </c>
      <c r="I122" s="190">
        <v>0.0</v>
      </c>
      <c r="J122" s="190">
        <f t="shared" si="3"/>
        <v>5000</v>
      </c>
      <c r="K122" s="190">
        <f t="shared" si="4"/>
        <v>-1544</v>
      </c>
      <c r="L122" s="60"/>
      <c r="M122" s="31"/>
      <c r="N122" s="61"/>
      <c r="O122" s="60"/>
      <c r="P122" s="31"/>
      <c r="Q122" s="61"/>
      <c r="R122" s="60"/>
      <c r="S122" s="31"/>
      <c r="T122" s="61"/>
      <c r="U122" s="60"/>
      <c r="V122" s="31"/>
      <c r="W122" s="61"/>
      <c r="X122" s="60"/>
      <c r="Y122" s="31"/>
      <c r="Z122" s="61"/>
      <c r="AA122" s="60"/>
      <c r="AB122" s="31"/>
      <c r="AC122" s="61"/>
      <c r="AD122" s="60"/>
      <c r="AE122" s="31"/>
      <c r="AF122" s="61"/>
      <c r="AG122" s="60"/>
      <c r="AH122" s="31"/>
      <c r="AI122" s="61"/>
      <c r="AJ122" s="60"/>
      <c r="AK122" s="31"/>
      <c r="AL122" s="61"/>
      <c r="AM122" s="60"/>
      <c r="AN122" s="31"/>
      <c r="AO122" s="61"/>
      <c r="AP122" s="60"/>
      <c r="AQ122" s="31"/>
      <c r="AR122" s="61"/>
      <c r="AS122" s="60"/>
      <c r="AT122" s="31"/>
      <c r="AU122" s="61"/>
    </row>
    <row r="123" ht="36.75" customHeight="1">
      <c r="A123" s="62"/>
      <c r="B123" s="156"/>
      <c r="C123" s="105" t="str">
        <f>VLOOKUP(D123,[1]Saldo!A122:B31395,2,0)</f>
        <v>#ERROR!</v>
      </c>
      <c r="D123" s="156" t="s">
        <v>782</v>
      </c>
      <c r="E123" s="156" t="s">
        <v>624</v>
      </c>
      <c r="F123" s="189">
        <v>1.0</v>
      </c>
      <c r="G123" s="191">
        <v>5000.0</v>
      </c>
      <c r="H123" s="190">
        <f>'PAINEL DE CONTROLE'!$J$5</f>
        <v>6544</v>
      </c>
      <c r="I123" s="190">
        <v>0.0</v>
      </c>
      <c r="J123" s="190">
        <f t="shared" si="3"/>
        <v>5000</v>
      </c>
      <c r="K123" s="190">
        <f t="shared" si="4"/>
        <v>-1544</v>
      </c>
      <c r="L123" s="60"/>
      <c r="M123" s="31"/>
      <c r="N123" s="61"/>
      <c r="O123" s="60"/>
      <c r="P123" s="31"/>
      <c r="Q123" s="61"/>
      <c r="R123" s="60"/>
      <c r="S123" s="31"/>
      <c r="T123" s="61"/>
      <c r="U123" s="60"/>
      <c r="V123" s="31"/>
      <c r="W123" s="61"/>
      <c r="X123" s="60"/>
      <c r="Y123" s="31"/>
      <c r="Z123" s="61"/>
      <c r="AA123" s="60"/>
      <c r="AB123" s="31"/>
      <c r="AC123" s="61"/>
      <c r="AD123" s="60"/>
      <c r="AE123" s="31"/>
      <c r="AF123" s="61"/>
      <c r="AG123" s="60"/>
      <c r="AH123" s="31"/>
      <c r="AI123" s="61"/>
      <c r="AJ123" s="60"/>
      <c r="AK123" s="31"/>
      <c r="AL123" s="61"/>
      <c r="AM123" s="60"/>
      <c r="AN123" s="31"/>
      <c r="AO123" s="61"/>
      <c r="AP123" s="60"/>
      <c r="AQ123" s="31"/>
      <c r="AR123" s="61"/>
      <c r="AS123" s="60"/>
      <c r="AT123" s="31"/>
      <c r="AU123" s="61"/>
    </row>
    <row r="124" ht="36.75" customHeight="1">
      <c r="A124" s="62"/>
      <c r="B124" s="156"/>
      <c r="C124" s="105" t="str">
        <f>VLOOKUP(D124,[1]Saldo!A123:B31396,2,0)</f>
        <v>#ERROR!</v>
      </c>
      <c r="D124" s="156" t="s">
        <v>783</v>
      </c>
      <c r="E124" s="156" t="s">
        <v>634</v>
      </c>
      <c r="F124" s="189">
        <v>1.0</v>
      </c>
      <c r="G124" s="191">
        <v>5000.0</v>
      </c>
      <c r="H124" s="190">
        <f>'PAINEL DE CONTROLE'!$J$5</f>
        <v>6544</v>
      </c>
      <c r="I124" s="190">
        <v>0.0</v>
      </c>
      <c r="J124" s="190">
        <f t="shared" si="3"/>
        <v>5000</v>
      </c>
      <c r="K124" s="190">
        <f t="shared" si="4"/>
        <v>-1544</v>
      </c>
      <c r="L124" s="60"/>
      <c r="M124" s="31"/>
      <c r="N124" s="61"/>
      <c r="O124" s="60"/>
      <c r="P124" s="31"/>
      <c r="Q124" s="61"/>
      <c r="R124" s="60"/>
      <c r="S124" s="31"/>
      <c r="T124" s="61"/>
      <c r="U124" s="60"/>
      <c r="V124" s="31"/>
      <c r="W124" s="61"/>
      <c r="X124" s="60"/>
      <c r="Y124" s="31"/>
      <c r="Z124" s="61"/>
      <c r="AA124" s="60"/>
      <c r="AB124" s="31"/>
      <c r="AC124" s="61"/>
      <c r="AD124" s="60"/>
      <c r="AE124" s="31"/>
      <c r="AF124" s="61"/>
      <c r="AG124" s="60"/>
      <c r="AH124" s="31"/>
      <c r="AI124" s="61"/>
      <c r="AJ124" s="60"/>
      <c r="AK124" s="31"/>
      <c r="AL124" s="61"/>
      <c r="AM124" s="60"/>
      <c r="AN124" s="31"/>
      <c r="AO124" s="61"/>
      <c r="AP124" s="60"/>
      <c r="AQ124" s="31"/>
      <c r="AR124" s="61"/>
      <c r="AS124" s="60"/>
      <c r="AT124" s="31"/>
      <c r="AU124" s="61"/>
    </row>
    <row r="125" ht="36.75" customHeight="1">
      <c r="A125" s="62"/>
      <c r="B125" s="156"/>
      <c r="C125" s="105" t="str">
        <f>VLOOKUP(D125,[1]Saldo!A124:B31397,2,0)</f>
        <v>#ERROR!</v>
      </c>
      <c r="D125" s="156" t="s">
        <v>649</v>
      </c>
      <c r="E125" s="156" t="s">
        <v>672</v>
      </c>
      <c r="F125" s="189">
        <v>1.0</v>
      </c>
      <c r="G125" s="191">
        <v>5000.0</v>
      </c>
      <c r="H125" s="190">
        <f>'PAINEL DE CONTROLE'!$J$5</f>
        <v>6544</v>
      </c>
      <c r="I125" s="190">
        <v>0.0</v>
      </c>
      <c r="J125" s="190">
        <f t="shared" si="3"/>
        <v>5000</v>
      </c>
      <c r="K125" s="190">
        <f t="shared" si="4"/>
        <v>-1544</v>
      </c>
      <c r="L125" s="60"/>
      <c r="M125" s="31"/>
      <c r="N125" s="61"/>
      <c r="O125" s="60"/>
      <c r="P125" s="31"/>
      <c r="Q125" s="61"/>
      <c r="R125" s="60"/>
      <c r="S125" s="31"/>
      <c r="T125" s="61"/>
      <c r="U125" s="60"/>
      <c r="V125" s="31"/>
      <c r="W125" s="61"/>
      <c r="X125" s="60"/>
      <c r="Y125" s="31"/>
      <c r="Z125" s="61"/>
      <c r="AA125" s="60"/>
      <c r="AB125" s="31"/>
      <c r="AC125" s="61"/>
      <c r="AD125" s="60"/>
      <c r="AE125" s="31"/>
      <c r="AF125" s="61"/>
      <c r="AG125" s="60"/>
      <c r="AH125" s="31"/>
      <c r="AI125" s="61"/>
      <c r="AJ125" s="60"/>
      <c r="AK125" s="31"/>
      <c r="AL125" s="61"/>
      <c r="AM125" s="60"/>
      <c r="AN125" s="31"/>
      <c r="AO125" s="61"/>
      <c r="AP125" s="60"/>
      <c r="AQ125" s="31"/>
      <c r="AR125" s="61"/>
      <c r="AS125" s="60"/>
      <c r="AT125" s="31"/>
      <c r="AU125" s="61"/>
    </row>
    <row r="126" ht="36.75" customHeight="1">
      <c r="A126" s="62"/>
      <c r="B126" s="156"/>
      <c r="C126" s="105" t="str">
        <f>VLOOKUP(D126,[1]Saldo!A125:B31398,2,0)</f>
        <v>#ERROR!</v>
      </c>
      <c r="D126" s="156" t="s">
        <v>784</v>
      </c>
      <c r="E126" s="156" t="s">
        <v>785</v>
      </c>
      <c r="F126" s="189">
        <v>6.0</v>
      </c>
      <c r="G126" s="191">
        <v>5000.0</v>
      </c>
      <c r="H126" s="190">
        <f>'PAINEL DE CONTROLE'!$J$5</f>
        <v>6544</v>
      </c>
      <c r="I126" s="190">
        <v>0.0</v>
      </c>
      <c r="J126" s="190">
        <f t="shared" si="3"/>
        <v>5000</v>
      </c>
      <c r="K126" s="190">
        <f t="shared" si="4"/>
        <v>-1544</v>
      </c>
      <c r="L126" s="60"/>
      <c r="M126" s="31"/>
      <c r="N126" s="61"/>
      <c r="O126" s="60"/>
      <c r="P126" s="31"/>
      <c r="Q126" s="61"/>
      <c r="R126" s="60"/>
      <c r="S126" s="31"/>
      <c r="T126" s="61"/>
      <c r="U126" s="60"/>
      <c r="V126" s="31"/>
      <c r="W126" s="61"/>
      <c r="X126" s="60"/>
      <c r="Y126" s="31"/>
      <c r="Z126" s="61"/>
      <c r="AA126" s="60"/>
      <c r="AB126" s="31"/>
      <c r="AC126" s="61"/>
      <c r="AD126" s="60"/>
      <c r="AE126" s="31"/>
      <c r="AF126" s="61"/>
      <c r="AG126" s="60"/>
      <c r="AH126" s="31"/>
      <c r="AI126" s="61"/>
      <c r="AJ126" s="60"/>
      <c r="AK126" s="31"/>
      <c r="AL126" s="61"/>
      <c r="AM126" s="60"/>
      <c r="AN126" s="31"/>
      <c r="AO126" s="61"/>
      <c r="AP126" s="60"/>
      <c r="AQ126" s="31"/>
      <c r="AR126" s="61"/>
      <c r="AS126" s="60"/>
      <c r="AT126" s="31"/>
      <c r="AU126" s="61"/>
    </row>
    <row r="127" ht="36.75" customHeight="1">
      <c r="A127" s="62"/>
      <c r="B127" s="156"/>
      <c r="C127" s="105" t="str">
        <f>VLOOKUP(D127,[1]Saldo!A126:B31399,2,0)</f>
        <v>#ERROR!</v>
      </c>
      <c r="D127" s="156" t="s">
        <v>786</v>
      </c>
      <c r="E127" s="156" t="s">
        <v>787</v>
      </c>
      <c r="F127" s="189">
        <v>2.0</v>
      </c>
      <c r="G127" s="191">
        <v>5000.0</v>
      </c>
      <c r="H127" s="190">
        <f>'PAINEL DE CONTROLE'!$J$5</f>
        <v>6544</v>
      </c>
      <c r="I127" s="190">
        <v>0.0</v>
      </c>
      <c r="J127" s="190">
        <f t="shared" si="3"/>
        <v>5000</v>
      </c>
      <c r="K127" s="190">
        <f t="shared" si="4"/>
        <v>-1544</v>
      </c>
      <c r="L127" s="60"/>
      <c r="M127" s="31"/>
      <c r="N127" s="61"/>
      <c r="O127" s="60"/>
      <c r="P127" s="31"/>
      <c r="Q127" s="61"/>
      <c r="R127" s="60"/>
      <c r="S127" s="31"/>
      <c r="T127" s="61"/>
      <c r="U127" s="60"/>
      <c r="V127" s="31"/>
      <c r="W127" s="61"/>
      <c r="X127" s="60"/>
      <c r="Y127" s="31"/>
      <c r="Z127" s="61"/>
      <c r="AA127" s="60"/>
      <c r="AB127" s="31"/>
      <c r="AC127" s="61"/>
      <c r="AD127" s="60"/>
      <c r="AE127" s="31"/>
      <c r="AF127" s="61"/>
      <c r="AG127" s="60"/>
      <c r="AH127" s="31"/>
      <c r="AI127" s="61"/>
      <c r="AJ127" s="60"/>
      <c r="AK127" s="31"/>
      <c r="AL127" s="61"/>
      <c r="AM127" s="60"/>
      <c r="AN127" s="31"/>
      <c r="AO127" s="61"/>
      <c r="AP127" s="60"/>
      <c r="AQ127" s="31"/>
      <c r="AR127" s="61"/>
      <c r="AS127" s="60"/>
      <c r="AT127" s="31"/>
      <c r="AU127" s="61"/>
    </row>
    <row r="128" ht="36.75" customHeight="1">
      <c r="A128" s="62"/>
      <c r="B128" s="156"/>
      <c r="C128" s="105" t="str">
        <f>VLOOKUP(D128,[1]Saldo!A127:B31400,2,0)</f>
        <v>#ERROR!</v>
      </c>
      <c r="D128" s="156" t="s">
        <v>788</v>
      </c>
      <c r="E128" s="156" t="s">
        <v>785</v>
      </c>
      <c r="F128" s="189">
        <v>2.0</v>
      </c>
      <c r="G128" s="191">
        <v>5000.0</v>
      </c>
      <c r="H128" s="190">
        <f>'PAINEL DE CONTROLE'!$J$5</f>
        <v>6544</v>
      </c>
      <c r="I128" s="190">
        <v>0.0</v>
      </c>
      <c r="J128" s="190">
        <f t="shared" si="3"/>
        <v>5000</v>
      </c>
      <c r="K128" s="190">
        <f t="shared" si="4"/>
        <v>-1544</v>
      </c>
      <c r="L128" s="60"/>
      <c r="M128" s="31"/>
      <c r="N128" s="61"/>
      <c r="O128" s="60"/>
      <c r="P128" s="31"/>
      <c r="Q128" s="61"/>
      <c r="R128" s="60"/>
      <c r="S128" s="31"/>
      <c r="T128" s="61"/>
      <c r="U128" s="60"/>
      <c r="V128" s="31"/>
      <c r="W128" s="61"/>
      <c r="X128" s="60"/>
      <c r="Y128" s="31"/>
      <c r="Z128" s="61"/>
      <c r="AA128" s="60"/>
      <c r="AB128" s="31"/>
      <c r="AC128" s="61"/>
      <c r="AD128" s="60"/>
      <c r="AE128" s="31"/>
      <c r="AF128" s="61"/>
      <c r="AG128" s="60"/>
      <c r="AH128" s="31"/>
      <c r="AI128" s="61"/>
      <c r="AJ128" s="60"/>
      <c r="AK128" s="31"/>
      <c r="AL128" s="61"/>
      <c r="AM128" s="60"/>
      <c r="AN128" s="31"/>
      <c r="AO128" s="61"/>
      <c r="AP128" s="60"/>
      <c r="AQ128" s="31"/>
      <c r="AR128" s="61"/>
      <c r="AS128" s="60"/>
      <c r="AT128" s="31"/>
      <c r="AU128" s="61"/>
    </row>
    <row r="129" ht="36.75" customHeight="1">
      <c r="A129" s="62"/>
      <c r="B129" s="156"/>
      <c r="C129" s="105" t="str">
        <f>VLOOKUP(D129,[1]Saldo!A128:B31401,2,0)</f>
        <v>#ERROR!</v>
      </c>
      <c r="D129" s="156" t="s">
        <v>789</v>
      </c>
      <c r="E129" s="156" t="s">
        <v>742</v>
      </c>
      <c r="F129" s="189">
        <v>16.0</v>
      </c>
      <c r="G129" s="191">
        <v>5000.0</v>
      </c>
      <c r="H129" s="190">
        <f>'PAINEL DE CONTROLE'!$J$5</f>
        <v>6544</v>
      </c>
      <c r="I129" s="190">
        <v>0.0</v>
      </c>
      <c r="J129" s="190">
        <f t="shared" si="3"/>
        <v>5000</v>
      </c>
      <c r="K129" s="190">
        <f t="shared" si="4"/>
        <v>-1544</v>
      </c>
      <c r="L129" s="60"/>
      <c r="M129" s="31"/>
      <c r="N129" s="61"/>
      <c r="O129" s="60"/>
      <c r="P129" s="31"/>
      <c r="Q129" s="61"/>
      <c r="R129" s="60"/>
      <c r="S129" s="31"/>
      <c r="T129" s="61"/>
      <c r="U129" s="60"/>
      <c r="V129" s="31"/>
      <c r="W129" s="61"/>
      <c r="X129" s="60"/>
      <c r="Y129" s="31"/>
      <c r="Z129" s="61"/>
      <c r="AA129" s="60"/>
      <c r="AB129" s="31"/>
      <c r="AC129" s="61"/>
      <c r="AD129" s="60"/>
      <c r="AE129" s="31"/>
      <c r="AF129" s="61"/>
      <c r="AG129" s="60"/>
      <c r="AH129" s="31"/>
      <c r="AI129" s="61"/>
      <c r="AJ129" s="60"/>
      <c r="AK129" s="31"/>
      <c r="AL129" s="61"/>
      <c r="AM129" s="60"/>
      <c r="AN129" s="31"/>
      <c r="AO129" s="61"/>
      <c r="AP129" s="60"/>
      <c r="AQ129" s="31"/>
      <c r="AR129" s="61"/>
      <c r="AS129" s="60"/>
      <c r="AT129" s="31"/>
      <c r="AU129" s="61"/>
    </row>
    <row r="130" ht="36.75" customHeight="1">
      <c r="A130" s="62"/>
      <c r="B130" s="156"/>
      <c r="C130" s="105" t="str">
        <f>VLOOKUP(D130,[1]Saldo!A129:B31402,2,0)</f>
        <v>#ERROR!</v>
      </c>
      <c r="D130" s="156" t="s">
        <v>790</v>
      </c>
      <c r="E130" s="156" t="s">
        <v>791</v>
      </c>
      <c r="F130" s="189">
        <v>4.0</v>
      </c>
      <c r="G130" s="191">
        <v>5000.0</v>
      </c>
      <c r="H130" s="190">
        <f>'PAINEL DE CONTROLE'!$J$5</f>
        <v>6544</v>
      </c>
      <c r="I130" s="190">
        <v>0.0</v>
      </c>
      <c r="J130" s="190">
        <f t="shared" si="3"/>
        <v>5000</v>
      </c>
      <c r="K130" s="190">
        <f t="shared" si="4"/>
        <v>-1544</v>
      </c>
      <c r="L130" s="60"/>
      <c r="M130" s="31"/>
      <c r="N130" s="61"/>
      <c r="O130" s="60"/>
      <c r="P130" s="31"/>
      <c r="Q130" s="61"/>
      <c r="R130" s="60"/>
      <c r="S130" s="31"/>
      <c r="T130" s="61"/>
      <c r="U130" s="60"/>
      <c r="V130" s="31"/>
      <c r="W130" s="61"/>
      <c r="X130" s="60"/>
      <c r="Y130" s="31"/>
      <c r="Z130" s="61"/>
      <c r="AA130" s="60"/>
      <c r="AB130" s="31"/>
      <c r="AC130" s="61"/>
      <c r="AD130" s="60"/>
      <c r="AE130" s="31"/>
      <c r="AF130" s="61"/>
      <c r="AG130" s="60"/>
      <c r="AH130" s="31"/>
      <c r="AI130" s="61"/>
      <c r="AJ130" s="60"/>
      <c r="AK130" s="31"/>
      <c r="AL130" s="61"/>
      <c r="AM130" s="60"/>
      <c r="AN130" s="31"/>
      <c r="AO130" s="61"/>
      <c r="AP130" s="60"/>
      <c r="AQ130" s="31"/>
      <c r="AR130" s="61"/>
      <c r="AS130" s="60"/>
      <c r="AT130" s="31"/>
      <c r="AU130" s="61"/>
    </row>
    <row r="131" ht="36.75" customHeight="1">
      <c r="A131" s="62"/>
      <c r="B131" s="156"/>
      <c r="C131" s="105" t="str">
        <f>VLOOKUP(D131,[1]Saldo!A130:B31403,2,0)</f>
        <v>#ERROR!</v>
      </c>
      <c r="D131" s="156" t="s">
        <v>792</v>
      </c>
      <c r="E131" s="156" t="s">
        <v>686</v>
      </c>
      <c r="F131" s="189">
        <v>2.0</v>
      </c>
      <c r="G131" s="191">
        <v>5000.0</v>
      </c>
      <c r="H131" s="190">
        <f>'PAINEL DE CONTROLE'!$J$5</f>
        <v>6544</v>
      </c>
      <c r="I131" s="190">
        <v>0.0</v>
      </c>
      <c r="J131" s="190">
        <f t="shared" si="3"/>
        <v>5000</v>
      </c>
      <c r="K131" s="190">
        <f t="shared" si="4"/>
        <v>-1544</v>
      </c>
      <c r="L131" s="60"/>
      <c r="M131" s="31"/>
      <c r="N131" s="61"/>
      <c r="O131" s="60"/>
      <c r="P131" s="31"/>
      <c r="Q131" s="61"/>
      <c r="R131" s="60"/>
      <c r="S131" s="31"/>
      <c r="T131" s="61"/>
      <c r="U131" s="60"/>
      <c r="V131" s="31"/>
      <c r="W131" s="61"/>
      <c r="X131" s="60"/>
      <c r="Y131" s="31"/>
      <c r="Z131" s="61"/>
      <c r="AA131" s="60"/>
      <c r="AB131" s="31"/>
      <c r="AC131" s="61"/>
      <c r="AD131" s="60"/>
      <c r="AE131" s="31"/>
      <c r="AF131" s="61"/>
      <c r="AG131" s="60"/>
      <c r="AH131" s="31"/>
      <c r="AI131" s="61"/>
      <c r="AJ131" s="60"/>
      <c r="AK131" s="31"/>
      <c r="AL131" s="61"/>
      <c r="AM131" s="60"/>
      <c r="AN131" s="31"/>
      <c r="AO131" s="61"/>
      <c r="AP131" s="60"/>
      <c r="AQ131" s="31"/>
      <c r="AR131" s="61"/>
      <c r="AS131" s="60"/>
      <c r="AT131" s="31"/>
      <c r="AU131" s="61"/>
    </row>
    <row r="132" ht="36.75" customHeight="1">
      <c r="A132" s="62"/>
      <c r="B132" s="156"/>
      <c r="C132" s="105" t="str">
        <f>VLOOKUP(D132,[1]Saldo!A131:B31404,2,0)</f>
        <v>#ERROR!</v>
      </c>
      <c r="D132" s="156" t="s">
        <v>793</v>
      </c>
      <c r="E132" s="156" t="s">
        <v>787</v>
      </c>
      <c r="F132" s="189">
        <v>1.0</v>
      </c>
      <c r="G132" s="191">
        <v>5000.0</v>
      </c>
      <c r="H132" s="190">
        <f>'PAINEL DE CONTROLE'!$J$5</f>
        <v>6544</v>
      </c>
      <c r="I132" s="190">
        <v>0.0</v>
      </c>
      <c r="J132" s="190">
        <f t="shared" si="3"/>
        <v>5000</v>
      </c>
      <c r="K132" s="190">
        <f t="shared" si="4"/>
        <v>-1544</v>
      </c>
      <c r="L132" s="60"/>
      <c r="M132" s="31"/>
      <c r="N132" s="61"/>
      <c r="O132" s="60"/>
      <c r="P132" s="31"/>
      <c r="Q132" s="61"/>
      <c r="R132" s="60"/>
      <c r="S132" s="31"/>
      <c r="T132" s="61"/>
      <c r="U132" s="60"/>
      <c r="V132" s="31"/>
      <c r="W132" s="61"/>
      <c r="X132" s="60"/>
      <c r="Y132" s="31"/>
      <c r="Z132" s="61"/>
      <c r="AA132" s="60"/>
      <c r="AB132" s="31"/>
      <c r="AC132" s="61"/>
      <c r="AD132" s="60"/>
      <c r="AE132" s="31"/>
      <c r="AF132" s="61"/>
      <c r="AG132" s="60"/>
      <c r="AH132" s="31"/>
      <c r="AI132" s="61"/>
      <c r="AJ132" s="60"/>
      <c r="AK132" s="31"/>
      <c r="AL132" s="61"/>
      <c r="AM132" s="60"/>
      <c r="AN132" s="31"/>
      <c r="AO132" s="61"/>
      <c r="AP132" s="60"/>
      <c r="AQ132" s="31"/>
      <c r="AR132" s="61"/>
      <c r="AS132" s="60"/>
      <c r="AT132" s="31"/>
      <c r="AU132" s="61"/>
    </row>
    <row r="133" ht="36.75" customHeight="1">
      <c r="A133" s="62"/>
      <c r="B133" s="156"/>
      <c r="C133" s="105" t="str">
        <f>VLOOKUP(D133,[1]Saldo!A132:B31405,2,0)</f>
        <v>#ERROR!</v>
      </c>
      <c r="D133" s="156" t="s">
        <v>794</v>
      </c>
      <c r="E133" s="156" t="s">
        <v>714</v>
      </c>
      <c r="F133" s="189">
        <v>1.0</v>
      </c>
      <c r="G133" s="191">
        <v>5000.0</v>
      </c>
      <c r="H133" s="190">
        <f>'PAINEL DE CONTROLE'!$J$5</f>
        <v>6544</v>
      </c>
      <c r="I133" s="190">
        <v>0.0</v>
      </c>
      <c r="J133" s="190">
        <f t="shared" si="3"/>
        <v>5000</v>
      </c>
      <c r="K133" s="190">
        <f t="shared" si="4"/>
        <v>-1544</v>
      </c>
      <c r="L133" s="60"/>
      <c r="M133" s="31"/>
      <c r="N133" s="61"/>
      <c r="O133" s="60"/>
      <c r="P133" s="31"/>
      <c r="Q133" s="61"/>
      <c r="R133" s="60"/>
      <c r="S133" s="31"/>
      <c r="T133" s="61"/>
      <c r="U133" s="60"/>
      <c r="V133" s="31"/>
      <c r="W133" s="61"/>
      <c r="X133" s="60"/>
      <c r="Y133" s="31"/>
      <c r="Z133" s="61"/>
      <c r="AA133" s="60"/>
      <c r="AB133" s="31"/>
      <c r="AC133" s="61"/>
      <c r="AD133" s="60"/>
      <c r="AE133" s="31"/>
      <c r="AF133" s="61"/>
      <c r="AG133" s="60"/>
      <c r="AH133" s="31"/>
      <c r="AI133" s="61"/>
      <c r="AJ133" s="60"/>
      <c r="AK133" s="31"/>
      <c r="AL133" s="61"/>
      <c r="AM133" s="60"/>
      <c r="AN133" s="31"/>
      <c r="AO133" s="61"/>
      <c r="AP133" s="60"/>
      <c r="AQ133" s="31"/>
      <c r="AR133" s="61"/>
      <c r="AS133" s="60"/>
      <c r="AT133" s="31"/>
      <c r="AU133" s="61"/>
    </row>
    <row r="134" ht="36.75" customHeight="1">
      <c r="A134" s="62"/>
      <c r="B134" s="156"/>
      <c r="C134" s="105" t="str">
        <f>VLOOKUP(D134,[1]Saldo!A133:B31406,2,0)</f>
        <v>#ERROR!</v>
      </c>
      <c r="D134" s="156" t="s">
        <v>795</v>
      </c>
      <c r="E134" s="156" t="s">
        <v>796</v>
      </c>
      <c r="F134" s="189">
        <v>2.0</v>
      </c>
      <c r="G134" s="191">
        <v>5000.0</v>
      </c>
      <c r="H134" s="190">
        <f>'PAINEL DE CONTROLE'!$J$5</f>
        <v>6544</v>
      </c>
      <c r="I134" s="190">
        <v>0.0</v>
      </c>
      <c r="J134" s="190">
        <f t="shared" si="3"/>
        <v>5000</v>
      </c>
      <c r="K134" s="190">
        <f t="shared" si="4"/>
        <v>-1544</v>
      </c>
      <c r="L134" s="60"/>
      <c r="M134" s="31"/>
      <c r="N134" s="61"/>
      <c r="O134" s="60"/>
      <c r="P134" s="31"/>
      <c r="Q134" s="61"/>
      <c r="R134" s="60"/>
      <c r="S134" s="31"/>
      <c r="T134" s="61"/>
      <c r="U134" s="60"/>
      <c r="V134" s="31"/>
      <c r="W134" s="61"/>
      <c r="X134" s="60"/>
      <c r="Y134" s="31"/>
      <c r="Z134" s="61"/>
      <c r="AA134" s="60"/>
      <c r="AB134" s="31"/>
      <c r="AC134" s="61"/>
      <c r="AD134" s="60"/>
      <c r="AE134" s="31"/>
      <c r="AF134" s="61"/>
      <c r="AG134" s="60"/>
      <c r="AH134" s="31"/>
      <c r="AI134" s="61"/>
      <c r="AJ134" s="60"/>
      <c r="AK134" s="31"/>
      <c r="AL134" s="61"/>
      <c r="AM134" s="60"/>
      <c r="AN134" s="31"/>
      <c r="AO134" s="61"/>
      <c r="AP134" s="60"/>
      <c r="AQ134" s="31"/>
      <c r="AR134" s="61"/>
      <c r="AS134" s="60"/>
      <c r="AT134" s="31"/>
      <c r="AU134" s="61"/>
    </row>
    <row r="135" ht="36.75" customHeight="1">
      <c r="A135" s="62"/>
      <c r="B135" s="156"/>
      <c r="C135" s="105" t="str">
        <f>VLOOKUP(D135,[1]Saldo!A134:B31407,2,0)</f>
        <v>#ERROR!</v>
      </c>
      <c r="D135" s="156" t="s">
        <v>665</v>
      </c>
      <c r="E135" s="156" t="s">
        <v>714</v>
      </c>
      <c r="F135" s="189">
        <v>1.0</v>
      </c>
      <c r="G135" s="191">
        <v>5000.0</v>
      </c>
      <c r="H135" s="190">
        <f>'PAINEL DE CONTROLE'!$J$5</f>
        <v>6544</v>
      </c>
      <c r="I135" s="190">
        <v>0.0</v>
      </c>
      <c r="J135" s="190">
        <f t="shared" si="3"/>
        <v>5000</v>
      </c>
      <c r="K135" s="190">
        <f t="shared" si="4"/>
        <v>-1544</v>
      </c>
      <c r="L135" s="60"/>
      <c r="M135" s="31"/>
      <c r="N135" s="61"/>
      <c r="O135" s="60"/>
      <c r="P135" s="31"/>
      <c r="Q135" s="61"/>
      <c r="R135" s="60"/>
      <c r="S135" s="31"/>
      <c r="T135" s="61"/>
      <c r="U135" s="60"/>
      <c r="V135" s="31"/>
      <c r="W135" s="61"/>
      <c r="X135" s="60"/>
      <c r="Y135" s="31"/>
      <c r="Z135" s="61"/>
      <c r="AA135" s="60"/>
      <c r="AB135" s="31"/>
      <c r="AC135" s="61"/>
      <c r="AD135" s="60"/>
      <c r="AE135" s="31"/>
      <c r="AF135" s="61"/>
      <c r="AG135" s="60"/>
      <c r="AH135" s="31"/>
      <c r="AI135" s="61"/>
      <c r="AJ135" s="60"/>
      <c r="AK135" s="31"/>
      <c r="AL135" s="61"/>
      <c r="AM135" s="60"/>
      <c r="AN135" s="31"/>
      <c r="AO135" s="61"/>
      <c r="AP135" s="60"/>
      <c r="AQ135" s="31"/>
      <c r="AR135" s="61"/>
      <c r="AS135" s="60"/>
      <c r="AT135" s="31"/>
      <c r="AU135" s="61"/>
    </row>
    <row r="136" ht="36.75" customHeight="1">
      <c r="A136" s="62"/>
      <c r="B136" s="156"/>
      <c r="C136" s="105" t="str">
        <f>VLOOKUP(D136,[1]Saldo!A135:B31408,2,0)</f>
        <v>#ERROR!</v>
      </c>
      <c r="D136" s="156" t="s">
        <v>797</v>
      </c>
      <c r="E136" s="156" t="s">
        <v>742</v>
      </c>
      <c r="F136" s="189">
        <v>2.0</v>
      </c>
      <c r="G136" s="191">
        <v>5000.0</v>
      </c>
      <c r="H136" s="190">
        <f>'PAINEL DE CONTROLE'!$J$5</f>
        <v>6544</v>
      </c>
      <c r="I136" s="190">
        <v>0.0</v>
      </c>
      <c r="J136" s="190">
        <f t="shared" si="3"/>
        <v>5000</v>
      </c>
      <c r="K136" s="190">
        <f t="shared" si="4"/>
        <v>-1544</v>
      </c>
      <c r="L136" s="60"/>
      <c r="M136" s="31"/>
      <c r="N136" s="61"/>
      <c r="O136" s="60"/>
      <c r="P136" s="31"/>
      <c r="Q136" s="61"/>
      <c r="R136" s="60"/>
      <c r="S136" s="31"/>
      <c r="T136" s="61"/>
      <c r="U136" s="60"/>
      <c r="V136" s="31"/>
      <c r="W136" s="61"/>
      <c r="X136" s="60"/>
      <c r="Y136" s="31"/>
      <c r="Z136" s="61"/>
      <c r="AA136" s="60"/>
      <c r="AB136" s="31"/>
      <c r="AC136" s="61"/>
      <c r="AD136" s="60"/>
      <c r="AE136" s="31"/>
      <c r="AF136" s="61"/>
      <c r="AG136" s="60"/>
      <c r="AH136" s="31"/>
      <c r="AI136" s="61"/>
      <c r="AJ136" s="60"/>
      <c r="AK136" s="31"/>
      <c r="AL136" s="61"/>
      <c r="AM136" s="60"/>
      <c r="AN136" s="31"/>
      <c r="AO136" s="61"/>
      <c r="AP136" s="60"/>
      <c r="AQ136" s="31"/>
      <c r="AR136" s="61"/>
      <c r="AS136" s="60"/>
      <c r="AT136" s="31"/>
      <c r="AU136" s="61"/>
    </row>
    <row r="137" ht="36.75" customHeight="1">
      <c r="A137" s="63"/>
      <c r="B137" s="156"/>
      <c r="C137" s="105" t="str">
        <f>VLOOKUP(D137,[1]Saldo!A136:B31409,2,0)</f>
        <v>#ERROR!</v>
      </c>
      <c r="D137" s="156" t="s">
        <v>798</v>
      </c>
      <c r="E137" s="156" t="s">
        <v>742</v>
      </c>
      <c r="F137" s="189">
        <v>1.0</v>
      </c>
      <c r="G137" s="191">
        <v>5000.0</v>
      </c>
      <c r="H137" s="190">
        <f>'PAINEL DE CONTROLE'!$J$5</f>
        <v>6544</v>
      </c>
      <c r="I137" s="190">
        <v>0.0</v>
      </c>
      <c r="J137" s="190">
        <f t="shared" si="3"/>
        <v>5000</v>
      </c>
      <c r="K137" s="190">
        <f t="shared" si="4"/>
        <v>-1544</v>
      </c>
      <c r="L137" s="60"/>
      <c r="M137" s="31"/>
      <c r="N137" s="61"/>
      <c r="O137" s="60"/>
      <c r="P137" s="31"/>
      <c r="Q137" s="61"/>
      <c r="R137" s="60"/>
      <c r="S137" s="31"/>
      <c r="T137" s="61"/>
      <c r="U137" s="60"/>
      <c r="V137" s="31"/>
      <c r="W137" s="61"/>
      <c r="X137" s="60"/>
      <c r="Y137" s="31"/>
      <c r="Z137" s="61"/>
      <c r="AA137" s="60"/>
      <c r="AB137" s="31"/>
      <c r="AC137" s="61"/>
      <c r="AD137" s="60"/>
      <c r="AE137" s="31"/>
      <c r="AF137" s="61"/>
      <c r="AG137" s="60"/>
      <c r="AH137" s="31"/>
      <c r="AI137" s="61"/>
      <c r="AJ137" s="60"/>
      <c r="AK137" s="31"/>
      <c r="AL137" s="61"/>
      <c r="AM137" s="60"/>
      <c r="AN137" s="31"/>
      <c r="AO137" s="61"/>
      <c r="AP137" s="60"/>
      <c r="AQ137" s="31"/>
      <c r="AR137" s="61"/>
      <c r="AS137" s="60"/>
      <c r="AT137" s="31"/>
      <c r="AU137" s="61"/>
    </row>
    <row r="138" ht="36.75" customHeight="1">
      <c r="A138" s="147" t="s">
        <v>57</v>
      </c>
      <c r="B138" s="156"/>
      <c r="C138" s="105" t="str">
        <f>VLOOKUP(D138,[1]Saldo!A137:B31410,2,0)</f>
        <v>#ERROR!</v>
      </c>
      <c r="D138" s="156" t="s">
        <v>799</v>
      </c>
      <c r="E138" s="156" t="s">
        <v>796</v>
      </c>
      <c r="F138" s="189">
        <v>1.0</v>
      </c>
      <c r="G138" s="191">
        <v>15000.0</v>
      </c>
      <c r="H138" s="190">
        <f>'PAINEL DE CONTROLE'!$J$5</f>
        <v>6544</v>
      </c>
      <c r="I138" s="190">
        <v>0.0</v>
      </c>
      <c r="J138" s="190">
        <f t="shared" si="3"/>
        <v>15000</v>
      </c>
      <c r="K138" s="190">
        <f t="shared" si="4"/>
        <v>8456</v>
      </c>
      <c r="L138" s="60"/>
      <c r="M138" s="31"/>
      <c r="N138" s="61"/>
      <c r="O138" s="60"/>
      <c r="P138" s="31"/>
      <c r="Q138" s="61"/>
      <c r="R138" s="60"/>
      <c r="S138" s="31"/>
      <c r="T138" s="61"/>
      <c r="U138" s="60"/>
      <c r="V138" s="31"/>
      <c r="W138" s="61"/>
      <c r="X138" s="60"/>
      <c r="Y138" s="31"/>
      <c r="Z138" s="61"/>
      <c r="AA138" s="60"/>
      <c r="AB138" s="31"/>
      <c r="AC138" s="61"/>
      <c r="AD138" s="60"/>
      <c r="AE138" s="31"/>
      <c r="AF138" s="61"/>
      <c r="AG138" s="60"/>
      <c r="AH138" s="31"/>
      <c r="AI138" s="61"/>
      <c r="AJ138" s="60"/>
      <c r="AK138" s="31"/>
      <c r="AL138" s="61"/>
      <c r="AM138" s="60"/>
      <c r="AN138" s="31"/>
      <c r="AO138" s="61"/>
      <c r="AP138" s="60"/>
      <c r="AQ138" s="31"/>
      <c r="AR138" s="61"/>
      <c r="AS138" s="60"/>
      <c r="AT138" s="31"/>
      <c r="AU138" s="61"/>
    </row>
    <row r="139" ht="36.75" customHeight="1">
      <c r="A139" s="62"/>
      <c r="B139" s="156"/>
      <c r="C139" s="105" t="str">
        <f>VLOOKUP(D139,[1]Saldo!A138:B31411,2,0)</f>
        <v>#ERROR!</v>
      </c>
      <c r="D139" s="156" t="s">
        <v>800</v>
      </c>
      <c r="E139" s="156" t="s">
        <v>672</v>
      </c>
      <c r="F139" s="189">
        <v>1.0</v>
      </c>
      <c r="G139" s="191">
        <v>15000.0</v>
      </c>
      <c r="H139" s="190">
        <f>'PAINEL DE CONTROLE'!$J$5</f>
        <v>6544</v>
      </c>
      <c r="I139" s="190">
        <v>0.0</v>
      </c>
      <c r="J139" s="190">
        <f t="shared" si="3"/>
        <v>15000</v>
      </c>
      <c r="K139" s="190">
        <f t="shared" si="4"/>
        <v>8456</v>
      </c>
      <c r="L139" s="60"/>
      <c r="M139" s="31"/>
      <c r="N139" s="61"/>
      <c r="O139" s="60"/>
      <c r="P139" s="31"/>
      <c r="Q139" s="61"/>
      <c r="R139" s="60"/>
      <c r="S139" s="31"/>
      <c r="T139" s="61"/>
      <c r="U139" s="60"/>
      <c r="V139" s="31"/>
      <c r="W139" s="61"/>
      <c r="X139" s="60"/>
      <c r="Y139" s="31"/>
      <c r="Z139" s="61"/>
      <c r="AA139" s="60"/>
      <c r="AB139" s="31"/>
      <c r="AC139" s="61"/>
      <c r="AD139" s="60"/>
      <c r="AE139" s="31"/>
      <c r="AF139" s="61"/>
      <c r="AG139" s="60"/>
      <c r="AH139" s="31"/>
      <c r="AI139" s="61"/>
      <c r="AJ139" s="60"/>
      <c r="AK139" s="31"/>
      <c r="AL139" s="61"/>
      <c r="AM139" s="60"/>
      <c r="AN139" s="31"/>
      <c r="AO139" s="61"/>
      <c r="AP139" s="60"/>
      <c r="AQ139" s="31"/>
      <c r="AR139" s="61"/>
      <c r="AS139" s="60"/>
      <c r="AT139" s="31"/>
      <c r="AU139" s="61"/>
    </row>
    <row r="140" ht="36.75" customHeight="1">
      <c r="A140" s="62"/>
      <c r="B140" s="156"/>
      <c r="C140" s="105" t="str">
        <f>VLOOKUP(D140,[1]Saldo!A139:B31412,2,0)</f>
        <v>#ERROR!</v>
      </c>
      <c r="D140" s="156" t="s">
        <v>801</v>
      </c>
      <c r="E140" s="156" t="s">
        <v>742</v>
      </c>
      <c r="F140" s="189">
        <v>8.0</v>
      </c>
      <c r="G140" s="191">
        <v>15000.0</v>
      </c>
      <c r="H140" s="190">
        <f>'PAINEL DE CONTROLE'!$J$5</f>
        <v>6544</v>
      </c>
      <c r="I140" s="190">
        <v>0.0</v>
      </c>
      <c r="J140" s="190">
        <f t="shared" si="3"/>
        <v>15000</v>
      </c>
      <c r="K140" s="190">
        <f t="shared" si="4"/>
        <v>8456</v>
      </c>
      <c r="L140" s="60"/>
      <c r="M140" s="31"/>
      <c r="N140" s="61"/>
      <c r="O140" s="60"/>
      <c r="P140" s="31"/>
      <c r="Q140" s="61"/>
      <c r="R140" s="60"/>
      <c r="S140" s="31"/>
      <c r="T140" s="61"/>
      <c r="U140" s="60"/>
      <c r="V140" s="31"/>
      <c r="W140" s="61"/>
      <c r="X140" s="60"/>
      <c r="Y140" s="31"/>
      <c r="Z140" s="61"/>
      <c r="AA140" s="60"/>
      <c r="AB140" s="31"/>
      <c r="AC140" s="61"/>
      <c r="AD140" s="60"/>
      <c r="AE140" s="31"/>
      <c r="AF140" s="61"/>
      <c r="AG140" s="60"/>
      <c r="AH140" s="31"/>
      <c r="AI140" s="61"/>
      <c r="AJ140" s="60"/>
      <c r="AK140" s="31"/>
      <c r="AL140" s="61"/>
      <c r="AM140" s="60"/>
      <c r="AN140" s="31"/>
      <c r="AO140" s="61"/>
      <c r="AP140" s="60"/>
      <c r="AQ140" s="31"/>
      <c r="AR140" s="61"/>
      <c r="AS140" s="60"/>
      <c r="AT140" s="31"/>
      <c r="AU140" s="61"/>
    </row>
    <row r="141" ht="36.75" customHeight="1">
      <c r="A141" s="62"/>
      <c r="B141" s="156"/>
      <c r="C141" s="105" t="str">
        <f>VLOOKUP(D141,[1]Saldo!A140:B31413,2,0)</f>
        <v>#ERROR!</v>
      </c>
      <c r="D141" s="156" t="s">
        <v>802</v>
      </c>
      <c r="E141" s="156" t="s">
        <v>742</v>
      </c>
      <c r="F141" s="189">
        <v>16.0</v>
      </c>
      <c r="G141" s="191">
        <v>15000.0</v>
      </c>
      <c r="H141" s="190">
        <f>'PAINEL DE CONTROLE'!$J$5</f>
        <v>6544</v>
      </c>
      <c r="I141" s="190">
        <v>0.0</v>
      </c>
      <c r="J141" s="190">
        <f t="shared" si="3"/>
        <v>15000</v>
      </c>
      <c r="K141" s="190">
        <f t="shared" si="4"/>
        <v>8456</v>
      </c>
      <c r="L141" s="60"/>
      <c r="M141" s="31"/>
      <c r="N141" s="61"/>
      <c r="O141" s="60"/>
      <c r="P141" s="31"/>
      <c r="Q141" s="61"/>
      <c r="R141" s="60"/>
      <c r="S141" s="31"/>
      <c r="T141" s="61"/>
      <c r="U141" s="60"/>
      <c r="V141" s="31"/>
      <c r="W141" s="61"/>
      <c r="X141" s="60"/>
      <c r="Y141" s="31"/>
      <c r="Z141" s="61"/>
      <c r="AA141" s="60"/>
      <c r="AB141" s="31"/>
      <c r="AC141" s="61"/>
      <c r="AD141" s="60"/>
      <c r="AE141" s="31"/>
      <c r="AF141" s="61"/>
      <c r="AG141" s="60"/>
      <c r="AH141" s="31"/>
      <c r="AI141" s="61"/>
      <c r="AJ141" s="60"/>
      <c r="AK141" s="31"/>
      <c r="AL141" s="61"/>
      <c r="AM141" s="60"/>
      <c r="AN141" s="31"/>
      <c r="AO141" s="61"/>
      <c r="AP141" s="60"/>
      <c r="AQ141" s="31"/>
      <c r="AR141" s="61"/>
      <c r="AS141" s="60"/>
      <c r="AT141" s="31"/>
      <c r="AU141" s="61"/>
    </row>
    <row r="142" ht="36.75" customHeight="1">
      <c r="A142" s="62"/>
      <c r="B142" s="156"/>
      <c r="C142" s="105" t="str">
        <f>VLOOKUP(D142,[1]Saldo!A141:B31414,2,0)</f>
        <v>#ERROR!</v>
      </c>
      <c r="D142" s="156" t="s">
        <v>662</v>
      </c>
      <c r="E142" s="156" t="s">
        <v>742</v>
      </c>
      <c r="F142" s="189">
        <v>16.0</v>
      </c>
      <c r="G142" s="191">
        <v>15000.0</v>
      </c>
      <c r="H142" s="190">
        <f>'PAINEL DE CONTROLE'!$J$5</f>
        <v>6544</v>
      </c>
      <c r="I142" s="190">
        <v>0.0</v>
      </c>
      <c r="J142" s="190">
        <f t="shared" si="3"/>
        <v>15000</v>
      </c>
      <c r="K142" s="190">
        <f t="shared" si="4"/>
        <v>8456</v>
      </c>
      <c r="L142" s="60"/>
      <c r="M142" s="31"/>
      <c r="N142" s="61"/>
      <c r="O142" s="60"/>
      <c r="P142" s="31"/>
      <c r="Q142" s="61"/>
      <c r="R142" s="60"/>
      <c r="S142" s="31"/>
      <c r="T142" s="61"/>
      <c r="U142" s="60"/>
      <c r="V142" s="31"/>
      <c r="W142" s="61"/>
      <c r="X142" s="60"/>
      <c r="Y142" s="31"/>
      <c r="Z142" s="61"/>
      <c r="AA142" s="60"/>
      <c r="AB142" s="31"/>
      <c r="AC142" s="61"/>
      <c r="AD142" s="60"/>
      <c r="AE142" s="31"/>
      <c r="AF142" s="61"/>
      <c r="AG142" s="60"/>
      <c r="AH142" s="31"/>
      <c r="AI142" s="61"/>
      <c r="AJ142" s="60"/>
      <c r="AK142" s="31"/>
      <c r="AL142" s="61"/>
      <c r="AM142" s="60"/>
      <c r="AN142" s="31"/>
      <c r="AO142" s="61"/>
      <c r="AP142" s="60"/>
      <c r="AQ142" s="31"/>
      <c r="AR142" s="61"/>
      <c r="AS142" s="60"/>
      <c r="AT142" s="31"/>
      <c r="AU142" s="61"/>
    </row>
    <row r="143" ht="36.75" customHeight="1">
      <c r="A143" s="62"/>
      <c r="B143" s="156"/>
      <c r="C143" s="105" t="str">
        <f>VLOOKUP(D143,[1]Saldo!A142:B31415,2,0)</f>
        <v>#ERROR!</v>
      </c>
      <c r="D143" s="156" t="s">
        <v>803</v>
      </c>
      <c r="E143" s="156" t="s">
        <v>804</v>
      </c>
      <c r="F143" s="189">
        <v>8.0</v>
      </c>
      <c r="G143" s="191">
        <v>15000.0</v>
      </c>
      <c r="H143" s="190">
        <f>'PAINEL DE CONTROLE'!$J$5</f>
        <v>6544</v>
      </c>
      <c r="I143" s="190">
        <v>0.0</v>
      </c>
      <c r="J143" s="190">
        <f t="shared" si="3"/>
        <v>15000</v>
      </c>
      <c r="K143" s="190">
        <f t="shared" si="4"/>
        <v>8456</v>
      </c>
      <c r="L143" s="60"/>
      <c r="M143" s="31"/>
      <c r="N143" s="61"/>
      <c r="O143" s="60"/>
      <c r="P143" s="31"/>
      <c r="Q143" s="61"/>
      <c r="R143" s="60"/>
      <c r="S143" s="31"/>
      <c r="T143" s="61"/>
      <c r="U143" s="60"/>
      <c r="V143" s="31"/>
      <c r="W143" s="61"/>
      <c r="X143" s="60"/>
      <c r="Y143" s="31"/>
      <c r="Z143" s="61"/>
      <c r="AA143" s="60"/>
      <c r="AB143" s="31"/>
      <c r="AC143" s="61"/>
      <c r="AD143" s="60"/>
      <c r="AE143" s="31"/>
      <c r="AF143" s="61"/>
      <c r="AG143" s="60"/>
      <c r="AH143" s="31"/>
      <c r="AI143" s="61"/>
      <c r="AJ143" s="60"/>
      <c r="AK143" s="31"/>
      <c r="AL143" s="61"/>
      <c r="AM143" s="60"/>
      <c r="AN143" s="31"/>
      <c r="AO143" s="61"/>
      <c r="AP143" s="60"/>
      <c r="AQ143" s="31"/>
      <c r="AR143" s="61"/>
      <c r="AS143" s="60"/>
      <c r="AT143" s="31"/>
      <c r="AU143" s="61"/>
    </row>
    <row r="144" ht="36.75" customHeight="1">
      <c r="A144" s="62"/>
      <c r="B144" s="156"/>
      <c r="C144" s="105" t="str">
        <f>VLOOKUP(D144,[1]Saldo!A143:B31416,2,0)</f>
        <v>#ERROR!</v>
      </c>
      <c r="D144" s="156" t="s">
        <v>805</v>
      </c>
      <c r="E144" s="156" t="s">
        <v>791</v>
      </c>
      <c r="F144" s="189">
        <v>8.0</v>
      </c>
      <c r="G144" s="191">
        <v>15000.0</v>
      </c>
      <c r="H144" s="190">
        <f>'PAINEL DE CONTROLE'!$J$5</f>
        <v>6544</v>
      </c>
      <c r="I144" s="190">
        <v>0.0</v>
      </c>
      <c r="J144" s="190">
        <f t="shared" si="3"/>
        <v>15000</v>
      </c>
      <c r="K144" s="190">
        <f t="shared" si="4"/>
        <v>8456</v>
      </c>
      <c r="L144" s="60"/>
      <c r="M144" s="31"/>
      <c r="N144" s="61"/>
      <c r="O144" s="60"/>
      <c r="P144" s="31"/>
      <c r="Q144" s="61"/>
      <c r="R144" s="60"/>
      <c r="S144" s="31"/>
      <c r="T144" s="61"/>
      <c r="U144" s="60"/>
      <c r="V144" s="31"/>
      <c r="W144" s="61"/>
      <c r="X144" s="60"/>
      <c r="Y144" s="31"/>
      <c r="Z144" s="61"/>
      <c r="AA144" s="60"/>
      <c r="AB144" s="31"/>
      <c r="AC144" s="61"/>
      <c r="AD144" s="60"/>
      <c r="AE144" s="31"/>
      <c r="AF144" s="61"/>
      <c r="AG144" s="60"/>
      <c r="AH144" s="31"/>
      <c r="AI144" s="61"/>
      <c r="AJ144" s="60"/>
      <c r="AK144" s="31"/>
      <c r="AL144" s="61"/>
      <c r="AM144" s="60"/>
      <c r="AN144" s="31"/>
      <c r="AO144" s="61"/>
      <c r="AP144" s="60"/>
      <c r="AQ144" s="31"/>
      <c r="AR144" s="61"/>
      <c r="AS144" s="60"/>
      <c r="AT144" s="31"/>
      <c r="AU144" s="61"/>
    </row>
    <row r="145" ht="36.75" customHeight="1">
      <c r="A145" s="62"/>
      <c r="B145" s="156"/>
      <c r="C145" s="105" t="str">
        <f>VLOOKUP(D145,[1]Saldo!A144:B31417,2,0)</f>
        <v>#ERROR!</v>
      </c>
      <c r="D145" s="156" t="s">
        <v>806</v>
      </c>
      <c r="E145" s="156" t="s">
        <v>686</v>
      </c>
      <c r="F145" s="189">
        <v>8.0</v>
      </c>
      <c r="G145" s="191">
        <v>15000.0</v>
      </c>
      <c r="H145" s="190">
        <f>'PAINEL DE CONTROLE'!$J$5</f>
        <v>6544</v>
      </c>
      <c r="I145" s="190">
        <v>0.0</v>
      </c>
      <c r="J145" s="190">
        <f t="shared" si="3"/>
        <v>15000</v>
      </c>
      <c r="K145" s="190">
        <f t="shared" si="4"/>
        <v>8456</v>
      </c>
      <c r="L145" s="60"/>
      <c r="M145" s="31"/>
      <c r="N145" s="61"/>
      <c r="O145" s="60"/>
      <c r="P145" s="31"/>
      <c r="Q145" s="61"/>
      <c r="R145" s="60"/>
      <c r="S145" s="31"/>
      <c r="T145" s="61"/>
      <c r="U145" s="60"/>
      <c r="V145" s="31"/>
      <c r="W145" s="61"/>
      <c r="X145" s="60"/>
      <c r="Y145" s="31"/>
      <c r="Z145" s="61"/>
      <c r="AA145" s="60"/>
      <c r="AB145" s="31"/>
      <c r="AC145" s="61"/>
      <c r="AD145" s="60"/>
      <c r="AE145" s="31"/>
      <c r="AF145" s="61"/>
      <c r="AG145" s="60"/>
      <c r="AH145" s="31"/>
      <c r="AI145" s="61"/>
      <c r="AJ145" s="60"/>
      <c r="AK145" s="31"/>
      <c r="AL145" s="61"/>
      <c r="AM145" s="60"/>
      <c r="AN145" s="31"/>
      <c r="AO145" s="61"/>
      <c r="AP145" s="60"/>
      <c r="AQ145" s="31"/>
      <c r="AR145" s="61"/>
      <c r="AS145" s="60"/>
      <c r="AT145" s="31"/>
      <c r="AU145" s="61"/>
    </row>
    <row r="146" ht="36.75" customHeight="1">
      <c r="A146" s="62"/>
      <c r="B146" s="156"/>
      <c r="C146" s="105" t="str">
        <f>VLOOKUP(D146,[1]Saldo!A145:B31418,2,0)</f>
        <v>#ERROR!</v>
      </c>
      <c r="D146" s="156" t="s">
        <v>807</v>
      </c>
      <c r="E146" s="156" t="s">
        <v>787</v>
      </c>
      <c r="F146" s="189">
        <v>8.0</v>
      </c>
      <c r="G146" s="191">
        <v>15000.0</v>
      </c>
      <c r="H146" s="190">
        <f>'PAINEL DE CONTROLE'!$J$5</f>
        <v>6544</v>
      </c>
      <c r="I146" s="190">
        <v>0.0</v>
      </c>
      <c r="J146" s="190">
        <f t="shared" si="3"/>
        <v>15000</v>
      </c>
      <c r="K146" s="190">
        <f t="shared" si="4"/>
        <v>8456</v>
      </c>
      <c r="L146" s="60"/>
      <c r="M146" s="31"/>
      <c r="N146" s="61"/>
      <c r="O146" s="60"/>
      <c r="P146" s="31"/>
      <c r="Q146" s="61"/>
      <c r="R146" s="60"/>
      <c r="S146" s="31"/>
      <c r="T146" s="61"/>
      <c r="U146" s="60"/>
      <c r="V146" s="31"/>
      <c r="W146" s="61"/>
      <c r="X146" s="60"/>
      <c r="Y146" s="31"/>
      <c r="Z146" s="61"/>
      <c r="AA146" s="60"/>
      <c r="AB146" s="31"/>
      <c r="AC146" s="61"/>
      <c r="AD146" s="60"/>
      <c r="AE146" s="31"/>
      <c r="AF146" s="61"/>
      <c r="AG146" s="60"/>
      <c r="AH146" s="31"/>
      <c r="AI146" s="61"/>
      <c r="AJ146" s="60"/>
      <c r="AK146" s="31"/>
      <c r="AL146" s="61"/>
      <c r="AM146" s="60"/>
      <c r="AN146" s="31"/>
      <c r="AO146" s="61"/>
      <c r="AP146" s="60"/>
      <c r="AQ146" s="31"/>
      <c r="AR146" s="61"/>
      <c r="AS146" s="60"/>
      <c r="AT146" s="31"/>
      <c r="AU146" s="61"/>
    </row>
    <row r="147" ht="36.75" customHeight="1">
      <c r="A147" s="63"/>
      <c r="B147" s="156"/>
      <c r="C147" s="105" t="str">
        <f>VLOOKUP(D147,[1]Saldo!A146:B31419,2,0)</f>
        <v>#ERROR!</v>
      </c>
      <c r="D147" s="156" t="s">
        <v>808</v>
      </c>
      <c r="E147" s="156" t="s">
        <v>804</v>
      </c>
      <c r="F147" s="189">
        <v>8.0</v>
      </c>
      <c r="G147" s="191">
        <v>15000.0</v>
      </c>
      <c r="H147" s="190">
        <f>'PAINEL DE CONTROLE'!$J$5</f>
        <v>6544</v>
      </c>
      <c r="I147" s="190">
        <v>0.0</v>
      </c>
      <c r="J147" s="190">
        <f t="shared" si="3"/>
        <v>15000</v>
      </c>
      <c r="K147" s="190">
        <f t="shared" si="4"/>
        <v>8456</v>
      </c>
      <c r="L147" s="60"/>
      <c r="M147" s="31"/>
      <c r="N147" s="61"/>
      <c r="O147" s="60"/>
      <c r="P147" s="31"/>
      <c r="Q147" s="61"/>
      <c r="R147" s="60"/>
      <c r="S147" s="31"/>
      <c r="T147" s="61"/>
      <c r="U147" s="60"/>
      <c r="V147" s="31"/>
      <c r="W147" s="61"/>
      <c r="X147" s="60"/>
      <c r="Y147" s="31"/>
      <c r="Z147" s="61"/>
      <c r="AA147" s="60"/>
      <c r="AB147" s="31"/>
      <c r="AC147" s="61"/>
      <c r="AD147" s="60"/>
      <c r="AE147" s="31"/>
      <c r="AF147" s="61"/>
      <c r="AG147" s="60"/>
      <c r="AH147" s="31"/>
      <c r="AI147" s="61"/>
      <c r="AJ147" s="60"/>
      <c r="AK147" s="31"/>
      <c r="AL147" s="61"/>
      <c r="AM147" s="60"/>
      <c r="AN147" s="31"/>
      <c r="AO147" s="61"/>
      <c r="AP147" s="60"/>
      <c r="AQ147" s="31"/>
      <c r="AR147" s="61"/>
      <c r="AS147" s="60"/>
      <c r="AT147" s="31"/>
      <c r="AU147" s="61"/>
    </row>
    <row r="148" ht="36.75" customHeight="1">
      <c r="A148" s="147" t="s">
        <v>58</v>
      </c>
      <c r="B148" s="156"/>
      <c r="C148" s="105" t="str">
        <f>VLOOKUP(D148,[1]Saldo!A147:B31420,2,0)</f>
        <v>#ERROR!</v>
      </c>
      <c r="D148" s="156" t="s">
        <v>809</v>
      </c>
      <c r="E148" s="156" t="s">
        <v>742</v>
      </c>
      <c r="F148" s="189">
        <v>4.0</v>
      </c>
      <c r="G148" s="191">
        <v>12000.0</v>
      </c>
      <c r="H148" s="190">
        <f>'PAINEL DE CONTROLE'!$J$5</f>
        <v>6544</v>
      </c>
      <c r="I148" s="190">
        <v>0.0</v>
      </c>
      <c r="J148" s="190">
        <f t="shared" si="3"/>
        <v>12000</v>
      </c>
      <c r="K148" s="190">
        <f t="shared" si="4"/>
        <v>5456</v>
      </c>
      <c r="L148" s="60"/>
      <c r="M148" s="31"/>
      <c r="N148" s="61"/>
      <c r="O148" s="60"/>
      <c r="P148" s="31"/>
      <c r="Q148" s="61"/>
      <c r="R148" s="60"/>
      <c r="S148" s="31"/>
      <c r="T148" s="61"/>
      <c r="U148" s="60"/>
      <c r="V148" s="31"/>
      <c r="W148" s="61"/>
      <c r="X148" s="60"/>
      <c r="Y148" s="31"/>
      <c r="Z148" s="61"/>
      <c r="AA148" s="60"/>
      <c r="AB148" s="31"/>
      <c r="AC148" s="61"/>
      <c r="AD148" s="60"/>
      <c r="AE148" s="31"/>
      <c r="AF148" s="61"/>
      <c r="AG148" s="60"/>
      <c r="AH148" s="31"/>
      <c r="AI148" s="61"/>
      <c r="AJ148" s="60"/>
      <c r="AK148" s="31"/>
      <c r="AL148" s="61"/>
      <c r="AM148" s="60"/>
      <c r="AN148" s="31"/>
      <c r="AO148" s="61"/>
      <c r="AP148" s="60"/>
      <c r="AQ148" s="31"/>
      <c r="AR148" s="61"/>
      <c r="AS148" s="60"/>
      <c r="AT148" s="31"/>
      <c r="AU148" s="61"/>
    </row>
    <row r="149" ht="36.75" customHeight="1">
      <c r="A149" s="62"/>
      <c r="B149" s="156"/>
      <c r="C149" s="105" t="str">
        <f>VLOOKUP(D149,[1]Saldo!A148:B31421,2,0)</f>
        <v>#ERROR!</v>
      </c>
      <c r="D149" s="156" t="s">
        <v>810</v>
      </c>
      <c r="E149" s="156" t="s">
        <v>750</v>
      </c>
      <c r="F149" s="189">
        <v>4.0</v>
      </c>
      <c r="G149" s="191">
        <v>12000.0</v>
      </c>
      <c r="H149" s="190">
        <f>'PAINEL DE CONTROLE'!$J$5</f>
        <v>6544</v>
      </c>
      <c r="I149" s="190">
        <v>0.0</v>
      </c>
      <c r="J149" s="190">
        <f t="shared" si="3"/>
        <v>12000</v>
      </c>
      <c r="K149" s="190">
        <f t="shared" si="4"/>
        <v>5456</v>
      </c>
      <c r="L149" s="60"/>
      <c r="M149" s="31"/>
      <c r="N149" s="61"/>
      <c r="O149" s="60"/>
      <c r="P149" s="31"/>
      <c r="Q149" s="61"/>
      <c r="R149" s="60"/>
      <c r="S149" s="31"/>
      <c r="T149" s="61"/>
      <c r="U149" s="60"/>
      <c r="V149" s="31"/>
      <c r="W149" s="61"/>
      <c r="X149" s="60"/>
      <c r="Y149" s="31"/>
      <c r="Z149" s="61"/>
      <c r="AA149" s="60"/>
      <c r="AB149" s="31"/>
      <c r="AC149" s="61"/>
      <c r="AD149" s="60"/>
      <c r="AE149" s="31"/>
      <c r="AF149" s="61"/>
      <c r="AG149" s="60"/>
      <c r="AH149" s="31"/>
      <c r="AI149" s="61"/>
      <c r="AJ149" s="60"/>
      <c r="AK149" s="31"/>
      <c r="AL149" s="61"/>
      <c r="AM149" s="60"/>
      <c r="AN149" s="31"/>
      <c r="AO149" s="61"/>
      <c r="AP149" s="60"/>
      <c r="AQ149" s="31"/>
      <c r="AR149" s="61"/>
      <c r="AS149" s="60"/>
      <c r="AT149" s="31"/>
      <c r="AU149" s="61"/>
    </row>
    <row r="150" ht="36.75" customHeight="1">
      <c r="A150" s="62"/>
      <c r="B150" s="156"/>
      <c r="C150" s="105" t="str">
        <f>VLOOKUP(D150,[1]Saldo!A149:B31422,2,0)</f>
        <v>#ERROR!</v>
      </c>
      <c r="D150" s="156" t="s">
        <v>811</v>
      </c>
      <c r="E150" s="156" t="s">
        <v>686</v>
      </c>
      <c r="F150" s="189">
        <v>4.0</v>
      </c>
      <c r="G150" s="191">
        <v>12000.0</v>
      </c>
      <c r="H150" s="190">
        <f>'PAINEL DE CONTROLE'!$J$5</f>
        <v>6544</v>
      </c>
      <c r="I150" s="190">
        <v>0.0</v>
      </c>
      <c r="J150" s="190">
        <f t="shared" si="3"/>
        <v>12000</v>
      </c>
      <c r="K150" s="190">
        <f t="shared" si="4"/>
        <v>5456</v>
      </c>
      <c r="L150" s="60"/>
      <c r="M150" s="31"/>
      <c r="N150" s="61"/>
      <c r="O150" s="60"/>
      <c r="P150" s="31"/>
      <c r="Q150" s="61"/>
      <c r="R150" s="60"/>
      <c r="S150" s="31"/>
      <c r="T150" s="61"/>
      <c r="U150" s="60"/>
      <c r="V150" s="31"/>
      <c r="W150" s="61"/>
      <c r="X150" s="60"/>
      <c r="Y150" s="31"/>
      <c r="Z150" s="61"/>
      <c r="AA150" s="60"/>
      <c r="AB150" s="31"/>
      <c r="AC150" s="61"/>
      <c r="AD150" s="60"/>
      <c r="AE150" s="31"/>
      <c r="AF150" s="61"/>
      <c r="AG150" s="60"/>
      <c r="AH150" s="31"/>
      <c r="AI150" s="61"/>
      <c r="AJ150" s="60"/>
      <c r="AK150" s="31"/>
      <c r="AL150" s="61"/>
      <c r="AM150" s="60"/>
      <c r="AN150" s="31"/>
      <c r="AO150" s="61"/>
      <c r="AP150" s="60"/>
      <c r="AQ150" s="31"/>
      <c r="AR150" s="61"/>
      <c r="AS150" s="60"/>
      <c r="AT150" s="31"/>
      <c r="AU150" s="61"/>
    </row>
    <row r="151" ht="36.75" customHeight="1">
      <c r="A151" s="62"/>
      <c r="B151" s="156"/>
      <c r="C151" s="105" t="str">
        <f>VLOOKUP(D151,[1]Saldo!A150:B31423,2,0)</f>
        <v>#ERROR!</v>
      </c>
      <c r="D151" s="156" t="s">
        <v>812</v>
      </c>
      <c r="E151" s="156" t="s">
        <v>813</v>
      </c>
      <c r="F151" s="189">
        <v>4.0</v>
      </c>
      <c r="G151" s="191">
        <v>12000.0</v>
      </c>
      <c r="H151" s="190">
        <f>'PAINEL DE CONTROLE'!$J$5</f>
        <v>6544</v>
      </c>
      <c r="I151" s="190">
        <v>0.0</v>
      </c>
      <c r="J151" s="190">
        <f t="shared" si="3"/>
        <v>12000</v>
      </c>
      <c r="K151" s="190">
        <f t="shared" si="4"/>
        <v>5456</v>
      </c>
      <c r="L151" s="60"/>
      <c r="M151" s="31"/>
      <c r="N151" s="61"/>
      <c r="O151" s="60"/>
      <c r="P151" s="31"/>
      <c r="Q151" s="61"/>
      <c r="R151" s="60"/>
      <c r="S151" s="31"/>
      <c r="T151" s="61"/>
      <c r="U151" s="60"/>
      <c r="V151" s="31"/>
      <c r="W151" s="61"/>
      <c r="X151" s="60"/>
      <c r="Y151" s="31"/>
      <c r="Z151" s="61"/>
      <c r="AA151" s="60"/>
      <c r="AB151" s="31"/>
      <c r="AC151" s="61"/>
      <c r="AD151" s="60"/>
      <c r="AE151" s="31"/>
      <c r="AF151" s="61"/>
      <c r="AG151" s="60"/>
      <c r="AH151" s="31"/>
      <c r="AI151" s="61"/>
      <c r="AJ151" s="60"/>
      <c r="AK151" s="31"/>
      <c r="AL151" s="61"/>
      <c r="AM151" s="60"/>
      <c r="AN151" s="31"/>
      <c r="AO151" s="61"/>
      <c r="AP151" s="60"/>
      <c r="AQ151" s="31"/>
      <c r="AR151" s="61"/>
      <c r="AS151" s="60"/>
      <c r="AT151" s="31"/>
      <c r="AU151" s="61"/>
    </row>
    <row r="152" ht="36.75" customHeight="1">
      <c r="A152" s="62"/>
      <c r="B152" s="156"/>
      <c r="C152" s="105" t="str">
        <f>VLOOKUP(D152,[1]Saldo!A151:B31424,2,0)</f>
        <v>#ERROR!</v>
      </c>
      <c r="D152" s="156" t="s">
        <v>814</v>
      </c>
      <c r="E152" s="156" t="s">
        <v>796</v>
      </c>
      <c r="F152" s="189">
        <v>4.0</v>
      </c>
      <c r="G152" s="191">
        <v>12000.0</v>
      </c>
      <c r="H152" s="190">
        <f>'PAINEL DE CONTROLE'!$J$5</f>
        <v>6544</v>
      </c>
      <c r="I152" s="190">
        <v>0.0</v>
      </c>
      <c r="J152" s="190">
        <f t="shared" si="3"/>
        <v>12000</v>
      </c>
      <c r="K152" s="190">
        <f t="shared" si="4"/>
        <v>5456</v>
      </c>
      <c r="L152" s="60"/>
      <c r="M152" s="31"/>
      <c r="N152" s="61"/>
      <c r="O152" s="60"/>
      <c r="P152" s="31"/>
      <c r="Q152" s="61"/>
      <c r="R152" s="60"/>
      <c r="S152" s="31"/>
      <c r="T152" s="61"/>
      <c r="U152" s="60"/>
      <c r="V152" s="31"/>
      <c r="W152" s="61"/>
      <c r="X152" s="60"/>
      <c r="Y152" s="31"/>
      <c r="Z152" s="61"/>
      <c r="AA152" s="60"/>
      <c r="AB152" s="31"/>
      <c r="AC152" s="61"/>
      <c r="AD152" s="60"/>
      <c r="AE152" s="31"/>
      <c r="AF152" s="61"/>
      <c r="AG152" s="60"/>
      <c r="AH152" s="31"/>
      <c r="AI152" s="61"/>
      <c r="AJ152" s="60"/>
      <c r="AK152" s="31"/>
      <c r="AL152" s="61"/>
      <c r="AM152" s="60"/>
      <c r="AN152" s="31"/>
      <c r="AO152" s="61"/>
      <c r="AP152" s="60"/>
      <c r="AQ152" s="31"/>
      <c r="AR152" s="61"/>
      <c r="AS152" s="60"/>
      <c r="AT152" s="31"/>
      <c r="AU152" s="61"/>
    </row>
    <row r="153" ht="36.75" customHeight="1">
      <c r="A153" s="62"/>
      <c r="B153" s="156"/>
      <c r="C153" s="105" t="str">
        <f>VLOOKUP(D153,[1]Saldo!A152:B31425,2,0)</f>
        <v>#ERROR!</v>
      </c>
      <c r="D153" s="156" t="s">
        <v>713</v>
      </c>
      <c r="E153" s="156" t="s">
        <v>605</v>
      </c>
      <c r="F153" s="189">
        <v>4.0</v>
      </c>
      <c r="G153" s="191">
        <v>12000.0</v>
      </c>
      <c r="H153" s="190">
        <f>'PAINEL DE CONTROLE'!$J$5</f>
        <v>6544</v>
      </c>
      <c r="I153" s="190">
        <v>0.0</v>
      </c>
      <c r="J153" s="190">
        <f t="shared" si="3"/>
        <v>12000</v>
      </c>
      <c r="K153" s="190">
        <f t="shared" si="4"/>
        <v>5456</v>
      </c>
      <c r="L153" s="60"/>
      <c r="M153" s="31"/>
      <c r="N153" s="61"/>
      <c r="O153" s="60"/>
      <c r="P153" s="31"/>
      <c r="Q153" s="61"/>
      <c r="R153" s="60"/>
      <c r="S153" s="31"/>
      <c r="T153" s="61"/>
      <c r="U153" s="60"/>
      <c r="V153" s="31"/>
      <c r="W153" s="61"/>
      <c r="X153" s="60"/>
      <c r="Y153" s="31"/>
      <c r="Z153" s="61"/>
      <c r="AA153" s="60"/>
      <c r="AB153" s="31"/>
      <c r="AC153" s="61"/>
      <c r="AD153" s="60"/>
      <c r="AE153" s="31"/>
      <c r="AF153" s="61"/>
      <c r="AG153" s="60"/>
      <c r="AH153" s="31"/>
      <c r="AI153" s="61"/>
      <c r="AJ153" s="60"/>
      <c r="AK153" s="31"/>
      <c r="AL153" s="61"/>
      <c r="AM153" s="60"/>
      <c r="AN153" s="31"/>
      <c r="AO153" s="61"/>
      <c r="AP153" s="60"/>
      <c r="AQ153" s="31"/>
      <c r="AR153" s="61"/>
      <c r="AS153" s="60"/>
      <c r="AT153" s="31"/>
      <c r="AU153" s="61"/>
    </row>
    <row r="154" ht="36.75" customHeight="1">
      <c r="A154" s="62"/>
      <c r="B154" s="156"/>
      <c r="C154" s="105" t="str">
        <f>VLOOKUP(D154,[1]Saldo!A153:B31426,2,0)</f>
        <v>#ERROR!</v>
      </c>
      <c r="D154" s="156" t="s">
        <v>815</v>
      </c>
      <c r="E154" s="156" t="s">
        <v>742</v>
      </c>
      <c r="F154" s="189">
        <v>4.0</v>
      </c>
      <c r="G154" s="191">
        <v>12000.0</v>
      </c>
      <c r="H154" s="190">
        <f>'PAINEL DE CONTROLE'!$J$5</f>
        <v>6544</v>
      </c>
      <c r="I154" s="190">
        <v>0.0</v>
      </c>
      <c r="J154" s="190">
        <f t="shared" si="3"/>
        <v>12000</v>
      </c>
      <c r="K154" s="190">
        <f t="shared" si="4"/>
        <v>5456</v>
      </c>
      <c r="L154" s="60"/>
      <c r="M154" s="31"/>
      <c r="N154" s="61"/>
      <c r="O154" s="60"/>
      <c r="P154" s="31"/>
      <c r="Q154" s="61"/>
      <c r="R154" s="60"/>
      <c r="S154" s="31"/>
      <c r="T154" s="61"/>
      <c r="U154" s="60"/>
      <c r="V154" s="31"/>
      <c r="W154" s="61"/>
      <c r="X154" s="60"/>
      <c r="Y154" s="31"/>
      <c r="Z154" s="61"/>
      <c r="AA154" s="60"/>
      <c r="AB154" s="31"/>
      <c r="AC154" s="61"/>
      <c r="AD154" s="60"/>
      <c r="AE154" s="31"/>
      <c r="AF154" s="61"/>
      <c r="AG154" s="60"/>
      <c r="AH154" s="31"/>
      <c r="AI154" s="61"/>
      <c r="AJ154" s="60"/>
      <c r="AK154" s="31"/>
      <c r="AL154" s="61"/>
      <c r="AM154" s="60"/>
      <c r="AN154" s="31"/>
      <c r="AO154" s="61"/>
      <c r="AP154" s="60"/>
      <c r="AQ154" s="31"/>
      <c r="AR154" s="61"/>
      <c r="AS154" s="60"/>
      <c r="AT154" s="31"/>
      <c r="AU154" s="61"/>
    </row>
    <row r="155" ht="36.75" customHeight="1">
      <c r="A155" s="63"/>
      <c r="B155" s="156"/>
      <c r="C155" s="105" t="str">
        <f>VLOOKUP(D155,[1]Saldo!A154:B31427,2,0)</f>
        <v>#ERROR!</v>
      </c>
      <c r="D155" s="156" t="s">
        <v>816</v>
      </c>
      <c r="E155" s="156" t="s">
        <v>605</v>
      </c>
      <c r="F155" s="189">
        <v>2.0</v>
      </c>
      <c r="G155" s="191">
        <v>12000.0</v>
      </c>
      <c r="H155" s="190">
        <f>'PAINEL DE CONTROLE'!$J$5</f>
        <v>6544</v>
      </c>
      <c r="I155" s="190">
        <v>0.0</v>
      </c>
      <c r="J155" s="190">
        <f t="shared" si="3"/>
        <v>12000</v>
      </c>
      <c r="K155" s="190">
        <f t="shared" si="4"/>
        <v>5456</v>
      </c>
      <c r="L155" s="60"/>
      <c r="M155" s="31"/>
      <c r="N155" s="61"/>
      <c r="O155" s="60"/>
      <c r="P155" s="31"/>
      <c r="Q155" s="61"/>
      <c r="R155" s="60"/>
      <c r="S155" s="31"/>
      <c r="T155" s="61"/>
      <c r="U155" s="60"/>
      <c r="V155" s="31"/>
      <c r="W155" s="61"/>
      <c r="X155" s="60"/>
      <c r="Y155" s="31"/>
      <c r="Z155" s="61"/>
      <c r="AA155" s="60"/>
      <c r="AB155" s="31"/>
      <c r="AC155" s="61"/>
      <c r="AD155" s="60"/>
      <c r="AE155" s="31"/>
      <c r="AF155" s="61"/>
      <c r="AG155" s="60"/>
      <c r="AH155" s="31"/>
      <c r="AI155" s="61"/>
      <c r="AJ155" s="60"/>
      <c r="AK155" s="31"/>
      <c r="AL155" s="61"/>
      <c r="AM155" s="60"/>
      <c r="AN155" s="31"/>
      <c r="AO155" s="61"/>
      <c r="AP155" s="60"/>
      <c r="AQ155" s="31"/>
      <c r="AR155" s="61"/>
      <c r="AS155" s="60"/>
      <c r="AT155" s="31"/>
      <c r="AU155" s="61"/>
    </row>
    <row r="156" ht="36.75" customHeight="1">
      <c r="A156" s="147" t="s">
        <v>58</v>
      </c>
      <c r="B156" s="156"/>
      <c r="C156" s="105" t="str">
        <f>VLOOKUP(D156,[1]Saldo!A155:B31428,2,0)</f>
        <v>#ERROR!</v>
      </c>
      <c r="D156" s="156" t="s">
        <v>817</v>
      </c>
      <c r="E156" s="156" t="s">
        <v>818</v>
      </c>
      <c r="F156" s="189">
        <v>1.0</v>
      </c>
      <c r="G156" s="191">
        <v>12000.0</v>
      </c>
      <c r="H156" s="190">
        <f>'PAINEL DE CONTROLE'!$J$5</f>
        <v>6544</v>
      </c>
      <c r="I156" s="190">
        <v>0.0</v>
      </c>
      <c r="J156" s="190">
        <f t="shared" si="3"/>
        <v>12000</v>
      </c>
      <c r="K156" s="190">
        <f t="shared" si="4"/>
        <v>5456</v>
      </c>
      <c r="L156" s="60"/>
      <c r="M156" s="31"/>
      <c r="N156" s="61"/>
      <c r="O156" s="60"/>
      <c r="P156" s="31"/>
      <c r="Q156" s="61"/>
      <c r="R156" s="60"/>
      <c r="S156" s="31"/>
      <c r="T156" s="61"/>
      <c r="U156" s="60"/>
      <c r="V156" s="31"/>
      <c r="W156" s="61"/>
      <c r="X156" s="60"/>
      <c r="Y156" s="31"/>
      <c r="Z156" s="61"/>
      <c r="AA156" s="60"/>
      <c r="AB156" s="31"/>
      <c r="AC156" s="61"/>
      <c r="AD156" s="60"/>
      <c r="AE156" s="31"/>
      <c r="AF156" s="61"/>
      <c r="AG156" s="60"/>
      <c r="AH156" s="31"/>
      <c r="AI156" s="61"/>
      <c r="AJ156" s="60"/>
      <c r="AK156" s="31"/>
      <c r="AL156" s="61"/>
      <c r="AM156" s="60"/>
      <c r="AN156" s="31"/>
      <c r="AO156" s="61"/>
      <c r="AP156" s="60"/>
      <c r="AQ156" s="31"/>
      <c r="AR156" s="61"/>
      <c r="AS156" s="60"/>
      <c r="AT156" s="31"/>
      <c r="AU156" s="61"/>
    </row>
    <row r="157" ht="36.75" customHeight="1">
      <c r="A157" s="63"/>
      <c r="B157" s="156"/>
      <c r="C157" s="105" t="str">
        <f>VLOOKUP(D157,[1]Saldo!A156:B31429,2,0)</f>
        <v>#ERROR!</v>
      </c>
      <c r="D157" s="156" t="s">
        <v>819</v>
      </c>
      <c r="E157" s="156" t="s">
        <v>818</v>
      </c>
      <c r="F157" s="189">
        <v>1.0</v>
      </c>
      <c r="G157" s="191">
        <v>12000.0</v>
      </c>
      <c r="H157" s="190">
        <f>'PAINEL DE CONTROLE'!$J$5</f>
        <v>6544</v>
      </c>
      <c r="I157" s="190">
        <v>0.0</v>
      </c>
      <c r="J157" s="190">
        <f t="shared" si="3"/>
        <v>12000</v>
      </c>
      <c r="K157" s="190">
        <f t="shared" si="4"/>
        <v>5456</v>
      </c>
      <c r="L157" s="60"/>
      <c r="M157" s="31"/>
      <c r="N157" s="61"/>
      <c r="O157" s="60"/>
      <c r="P157" s="31"/>
      <c r="Q157" s="61"/>
      <c r="R157" s="60"/>
      <c r="S157" s="31"/>
      <c r="T157" s="61"/>
      <c r="U157" s="60"/>
      <c r="V157" s="31"/>
      <c r="W157" s="61"/>
      <c r="X157" s="60"/>
      <c r="Y157" s="31"/>
      <c r="Z157" s="61"/>
      <c r="AA157" s="60"/>
      <c r="AB157" s="31"/>
      <c r="AC157" s="61"/>
      <c r="AD157" s="60"/>
      <c r="AE157" s="31"/>
      <c r="AF157" s="61"/>
      <c r="AG157" s="60"/>
      <c r="AH157" s="31"/>
      <c r="AI157" s="61"/>
      <c r="AJ157" s="60"/>
      <c r="AK157" s="31"/>
      <c r="AL157" s="61"/>
      <c r="AM157" s="60"/>
      <c r="AN157" s="31"/>
      <c r="AO157" s="61"/>
      <c r="AP157" s="60"/>
      <c r="AQ157" s="31"/>
      <c r="AR157" s="61"/>
      <c r="AS157" s="60"/>
      <c r="AT157" s="31"/>
      <c r="AU157" s="61"/>
    </row>
    <row r="158" ht="36.75" customHeight="1">
      <c r="A158" s="147" t="s">
        <v>59</v>
      </c>
      <c r="B158" s="156"/>
      <c r="C158" s="105" t="str">
        <f>VLOOKUP(D158,[1]Saldo!A157:B31430,2,0)</f>
        <v>#ERROR!</v>
      </c>
      <c r="D158" s="156" t="s">
        <v>820</v>
      </c>
      <c r="E158" s="156" t="s">
        <v>624</v>
      </c>
      <c r="F158" s="189">
        <v>2.0</v>
      </c>
      <c r="G158" s="191">
        <v>6000.0</v>
      </c>
      <c r="H158" s="190">
        <f>'PAINEL DE CONTROLE'!$J$5</f>
        <v>6544</v>
      </c>
      <c r="I158" s="190">
        <v>0.0</v>
      </c>
      <c r="J158" s="190">
        <f t="shared" si="3"/>
        <v>6000</v>
      </c>
      <c r="K158" s="190">
        <f t="shared" si="4"/>
        <v>-544</v>
      </c>
      <c r="L158" s="60"/>
      <c r="M158" s="31"/>
      <c r="N158" s="61"/>
      <c r="O158" s="60"/>
      <c r="P158" s="31"/>
      <c r="Q158" s="61"/>
      <c r="R158" s="60"/>
      <c r="S158" s="31"/>
      <c r="T158" s="61"/>
      <c r="U158" s="60"/>
      <c r="V158" s="31"/>
      <c r="W158" s="61"/>
      <c r="X158" s="60"/>
      <c r="Y158" s="31"/>
      <c r="Z158" s="61"/>
      <c r="AA158" s="60"/>
      <c r="AB158" s="31"/>
      <c r="AC158" s="61"/>
      <c r="AD158" s="60"/>
      <c r="AE158" s="31"/>
      <c r="AF158" s="61"/>
      <c r="AG158" s="60"/>
      <c r="AH158" s="31"/>
      <c r="AI158" s="61"/>
      <c r="AJ158" s="60"/>
      <c r="AK158" s="31"/>
      <c r="AL158" s="61"/>
      <c r="AM158" s="60"/>
      <c r="AN158" s="31"/>
      <c r="AO158" s="61"/>
      <c r="AP158" s="60"/>
      <c r="AQ158" s="31"/>
      <c r="AR158" s="61"/>
      <c r="AS158" s="60"/>
      <c r="AT158" s="31"/>
      <c r="AU158" s="61"/>
    </row>
    <row r="159" ht="36.75" customHeight="1">
      <c r="A159" s="62"/>
      <c r="B159" s="156"/>
      <c r="C159" s="105" t="str">
        <f>VLOOKUP(D159,[1]Saldo!A158:B31431,2,0)</f>
        <v>#ERROR!</v>
      </c>
      <c r="D159" s="156" t="s">
        <v>821</v>
      </c>
      <c r="E159" s="156" t="s">
        <v>772</v>
      </c>
      <c r="F159" s="189">
        <v>2.0</v>
      </c>
      <c r="G159" s="191">
        <v>6000.0</v>
      </c>
      <c r="H159" s="190">
        <f>'PAINEL DE CONTROLE'!$J$5</f>
        <v>6544</v>
      </c>
      <c r="I159" s="190">
        <v>0.0</v>
      </c>
      <c r="J159" s="190">
        <f t="shared" si="3"/>
        <v>6000</v>
      </c>
      <c r="K159" s="190">
        <f t="shared" si="4"/>
        <v>-544</v>
      </c>
      <c r="L159" s="60"/>
      <c r="M159" s="31"/>
      <c r="N159" s="61"/>
      <c r="O159" s="60"/>
      <c r="P159" s="31"/>
      <c r="Q159" s="61"/>
      <c r="R159" s="60"/>
      <c r="S159" s="31"/>
      <c r="T159" s="61"/>
      <c r="U159" s="60"/>
      <c r="V159" s="31"/>
      <c r="W159" s="61"/>
      <c r="X159" s="60"/>
      <c r="Y159" s="31"/>
      <c r="Z159" s="61"/>
      <c r="AA159" s="60"/>
      <c r="AB159" s="31"/>
      <c r="AC159" s="61"/>
      <c r="AD159" s="60"/>
      <c r="AE159" s="31"/>
      <c r="AF159" s="61"/>
      <c r="AG159" s="60"/>
      <c r="AH159" s="31"/>
      <c r="AI159" s="61"/>
      <c r="AJ159" s="60"/>
      <c r="AK159" s="31"/>
      <c r="AL159" s="61"/>
      <c r="AM159" s="60"/>
      <c r="AN159" s="31"/>
      <c r="AO159" s="61"/>
      <c r="AP159" s="60"/>
      <c r="AQ159" s="31"/>
      <c r="AR159" s="61"/>
      <c r="AS159" s="60"/>
      <c r="AT159" s="31"/>
      <c r="AU159" s="61"/>
    </row>
    <row r="160" ht="36.75" customHeight="1">
      <c r="A160" s="62"/>
      <c r="B160" s="156"/>
      <c r="C160" s="105" t="str">
        <f>VLOOKUP(D160,[1]Saldo!A159:B31432,2,0)</f>
        <v>#ERROR!</v>
      </c>
      <c r="D160" s="156" t="s">
        <v>822</v>
      </c>
      <c r="E160" s="156" t="s">
        <v>618</v>
      </c>
      <c r="F160" s="189">
        <v>4.0</v>
      </c>
      <c r="G160" s="191">
        <v>6000.0</v>
      </c>
      <c r="H160" s="190">
        <f>'PAINEL DE CONTROLE'!$J$5</f>
        <v>6544</v>
      </c>
      <c r="I160" s="190">
        <v>0.0</v>
      </c>
      <c r="J160" s="190">
        <f t="shared" si="3"/>
        <v>6000</v>
      </c>
      <c r="K160" s="190">
        <f t="shared" si="4"/>
        <v>-544</v>
      </c>
      <c r="L160" s="60"/>
      <c r="M160" s="31"/>
      <c r="N160" s="61"/>
      <c r="O160" s="60"/>
      <c r="P160" s="31"/>
      <c r="Q160" s="61"/>
      <c r="R160" s="60"/>
      <c r="S160" s="31"/>
      <c r="T160" s="61"/>
      <c r="U160" s="60"/>
      <c r="V160" s="31"/>
      <c r="W160" s="61"/>
      <c r="X160" s="60"/>
      <c r="Y160" s="31"/>
      <c r="Z160" s="61"/>
      <c r="AA160" s="60"/>
      <c r="AB160" s="31"/>
      <c r="AC160" s="61"/>
      <c r="AD160" s="60"/>
      <c r="AE160" s="31"/>
      <c r="AF160" s="61"/>
      <c r="AG160" s="60"/>
      <c r="AH160" s="31"/>
      <c r="AI160" s="61"/>
      <c r="AJ160" s="60"/>
      <c r="AK160" s="31"/>
      <c r="AL160" s="61"/>
      <c r="AM160" s="60"/>
      <c r="AN160" s="31"/>
      <c r="AO160" s="61"/>
      <c r="AP160" s="60"/>
      <c r="AQ160" s="31"/>
      <c r="AR160" s="61"/>
      <c r="AS160" s="60"/>
      <c r="AT160" s="31"/>
      <c r="AU160" s="61"/>
    </row>
    <row r="161" ht="36.75" customHeight="1">
      <c r="A161" s="62"/>
      <c r="B161" s="156"/>
      <c r="C161" s="105" t="str">
        <f>VLOOKUP(D161,[1]Saldo!A160:B31433,2,0)</f>
        <v>#ERROR!</v>
      </c>
      <c r="D161" s="156" t="s">
        <v>823</v>
      </c>
      <c r="E161" s="156" t="s">
        <v>824</v>
      </c>
      <c r="F161" s="189">
        <v>2.0</v>
      </c>
      <c r="G161" s="191">
        <v>6000.0</v>
      </c>
      <c r="H161" s="190">
        <f>'PAINEL DE CONTROLE'!$J$5</f>
        <v>6544</v>
      </c>
      <c r="I161" s="190">
        <v>0.0</v>
      </c>
      <c r="J161" s="190">
        <f t="shared" si="3"/>
        <v>6000</v>
      </c>
      <c r="K161" s="190">
        <f t="shared" si="4"/>
        <v>-544</v>
      </c>
      <c r="L161" s="60"/>
      <c r="M161" s="31"/>
      <c r="N161" s="61"/>
      <c r="O161" s="60"/>
      <c r="P161" s="31"/>
      <c r="Q161" s="61"/>
      <c r="R161" s="60"/>
      <c r="S161" s="31"/>
      <c r="T161" s="61"/>
      <c r="U161" s="60"/>
      <c r="V161" s="31"/>
      <c r="W161" s="61"/>
      <c r="X161" s="60"/>
      <c r="Y161" s="31"/>
      <c r="Z161" s="61"/>
      <c r="AA161" s="60"/>
      <c r="AB161" s="31"/>
      <c r="AC161" s="61"/>
      <c r="AD161" s="60"/>
      <c r="AE161" s="31"/>
      <c r="AF161" s="61"/>
      <c r="AG161" s="60"/>
      <c r="AH161" s="31"/>
      <c r="AI161" s="61"/>
      <c r="AJ161" s="60"/>
      <c r="AK161" s="31"/>
      <c r="AL161" s="61"/>
      <c r="AM161" s="60"/>
      <c r="AN161" s="31"/>
      <c r="AO161" s="61"/>
      <c r="AP161" s="60"/>
      <c r="AQ161" s="31"/>
      <c r="AR161" s="61"/>
      <c r="AS161" s="60"/>
      <c r="AT161" s="31"/>
      <c r="AU161" s="61"/>
    </row>
    <row r="162" ht="36.75" customHeight="1">
      <c r="A162" s="63"/>
      <c r="B162" s="156"/>
      <c r="C162" s="105" t="str">
        <f>VLOOKUP(D162,[1]Saldo!A161:B31434,2,0)</f>
        <v>#ERROR!</v>
      </c>
      <c r="D162" s="156" t="s">
        <v>825</v>
      </c>
      <c r="E162" s="156" t="s">
        <v>796</v>
      </c>
      <c r="F162" s="189">
        <v>2.0</v>
      </c>
      <c r="G162" s="191">
        <v>6000.0</v>
      </c>
      <c r="H162" s="190">
        <f>'PAINEL DE CONTROLE'!$J$5</f>
        <v>6544</v>
      </c>
      <c r="I162" s="190">
        <v>0.0</v>
      </c>
      <c r="J162" s="190">
        <f t="shared" si="3"/>
        <v>6000</v>
      </c>
      <c r="K162" s="190">
        <f t="shared" si="4"/>
        <v>-544</v>
      </c>
      <c r="L162" s="60"/>
      <c r="M162" s="31"/>
      <c r="N162" s="61"/>
      <c r="O162" s="60"/>
      <c r="P162" s="31"/>
      <c r="Q162" s="61"/>
      <c r="R162" s="60"/>
      <c r="S162" s="31"/>
      <c r="T162" s="61"/>
      <c r="U162" s="60"/>
      <c r="V162" s="31"/>
      <c r="W162" s="61"/>
      <c r="X162" s="60"/>
      <c r="Y162" s="31"/>
      <c r="Z162" s="61"/>
      <c r="AA162" s="60"/>
      <c r="AB162" s="31"/>
      <c r="AC162" s="61"/>
      <c r="AD162" s="60"/>
      <c r="AE162" s="31"/>
      <c r="AF162" s="61"/>
      <c r="AG162" s="60"/>
      <c r="AH162" s="31"/>
      <c r="AI162" s="61"/>
      <c r="AJ162" s="60"/>
      <c r="AK162" s="31"/>
      <c r="AL162" s="61"/>
      <c r="AM162" s="60"/>
      <c r="AN162" s="31"/>
      <c r="AO162" s="61"/>
      <c r="AP162" s="60"/>
      <c r="AQ162" s="31"/>
      <c r="AR162" s="61"/>
      <c r="AS162" s="60"/>
      <c r="AT162" s="31"/>
      <c r="AU162" s="61"/>
    </row>
    <row r="163" ht="36.75" customHeight="1">
      <c r="A163" s="147" t="s">
        <v>60</v>
      </c>
      <c r="B163" s="156"/>
      <c r="C163" s="105" t="str">
        <f>VLOOKUP(D163,[1]Saldo!A162:B31435,2,0)</f>
        <v>#ERROR!</v>
      </c>
      <c r="D163" s="156" t="s">
        <v>826</v>
      </c>
      <c r="E163" s="156" t="s">
        <v>634</v>
      </c>
      <c r="F163" s="189">
        <v>4.0</v>
      </c>
      <c r="G163" s="191">
        <v>3000.0</v>
      </c>
      <c r="H163" s="190">
        <f>'PAINEL DE CONTROLE'!$J$5</f>
        <v>6544</v>
      </c>
      <c r="I163" s="190">
        <v>0.0</v>
      </c>
      <c r="J163" s="190">
        <f t="shared" si="3"/>
        <v>3000</v>
      </c>
      <c r="K163" s="190">
        <f t="shared" si="4"/>
        <v>-3544</v>
      </c>
      <c r="L163" s="60"/>
      <c r="M163" s="31"/>
      <c r="N163" s="61"/>
      <c r="O163" s="60"/>
      <c r="P163" s="31"/>
      <c r="Q163" s="61"/>
      <c r="R163" s="60"/>
      <c r="S163" s="31"/>
      <c r="T163" s="61"/>
      <c r="U163" s="60"/>
      <c r="V163" s="31"/>
      <c r="W163" s="61"/>
      <c r="X163" s="60"/>
      <c r="Y163" s="31"/>
      <c r="Z163" s="61"/>
      <c r="AA163" s="60"/>
      <c r="AB163" s="31"/>
      <c r="AC163" s="61"/>
      <c r="AD163" s="60"/>
      <c r="AE163" s="31"/>
      <c r="AF163" s="61"/>
      <c r="AG163" s="60"/>
      <c r="AH163" s="31"/>
      <c r="AI163" s="61"/>
      <c r="AJ163" s="60"/>
      <c r="AK163" s="31"/>
      <c r="AL163" s="61"/>
      <c r="AM163" s="60"/>
      <c r="AN163" s="31"/>
      <c r="AO163" s="61"/>
      <c r="AP163" s="60"/>
      <c r="AQ163" s="31"/>
      <c r="AR163" s="61"/>
      <c r="AS163" s="60"/>
      <c r="AT163" s="31"/>
      <c r="AU163" s="61"/>
    </row>
    <row r="164" ht="36.75" customHeight="1">
      <c r="A164" s="62"/>
      <c r="B164" s="156"/>
      <c r="C164" s="105" t="str">
        <f>VLOOKUP(D164,[1]Saldo!A163:B31436,2,0)</f>
        <v>#ERROR!</v>
      </c>
      <c r="D164" s="156" t="s">
        <v>827</v>
      </c>
      <c r="E164" s="156" t="s">
        <v>785</v>
      </c>
      <c r="F164" s="189">
        <v>4.0</v>
      </c>
      <c r="G164" s="191">
        <v>6000.0</v>
      </c>
      <c r="H164" s="190">
        <f>'PAINEL DE CONTROLE'!$J$5</f>
        <v>6544</v>
      </c>
      <c r="I164" s="190">
        <v>0.0</v>
      </c>
      <c r="J164" s="190">
        <f t="shared" si="3"/>
        <v>6000</v>
      </c>
      <c r="K164" s="190">
        <f t="shared" si="4"/>
        <v>-544</v>
      </c>
      <c r="L164" s="60"/>
      <c r="M164" s="31"/>
      <c r="N164" s="61"/>
      <c r="O164" s="60"/>
      <c r="P164" s="31"/>
      <c r="Q164" s="61"/>
      <c r="R164" s="60"/>
      <c r="S164" s="31"/>
      <c r="T164" s="61"/>
      <c r="U164" s="60"/>
      <c r="V164" s="31"/>
      <c r="W164" s="61"/>
      <c r="X164" s="60"/>
      <c r="Y164" s="31"/>
      <c r="Z164" s="61"/>
      <c r="AA164" s="60"/>
      <c r="AB164" s="31"/>
      <c r="AC164" s="61"/>
      <c r="AD164" s="60"/>
      <c r="AE164" s="31"/>
      <c r="AF164" s="61"/>
      <c r="AG164" s="60"/>
      <c r="AH164" s="31"/>
      <c r="AI164" s="61"/>
      <c r="AJ164" s="60"/>
      <c r="AK164" s="31"/>
      <c r="AL164" s="61"/>
      <c r="AM164" s="60"/>
      <c r="AN164" s="31"/>
      <c r="AO164" s="61"/>
      <c r="AP164" s="60"/>
      <c r="AQ164" s="31"/>
      <c r="AR164" s="61"/>
      <c r="AS164" s="60"/>
      <c r="AT164" s="31"/>
      <c r="AU164" s="61"/>
    </row>
    <row r="165" ht="36.75" customHeight="1">
      <c r="A165" s="62"/>
      <c r="B165" s="156"/>
      <c r="C165" s="105" t="str">
        <f>VLOOKUP(D165,[1]Saldo!A164:B31437,2,0)</f>
        <v>#ERROR!</v>
      </c>
      <c r="D165" s="156" t="s">
        <v>828</v>
      </c>
      <c r="E165" s="156" t="s">
        <v>829</v>
      </c>
      <c r="F165" s="189">
        <v>16.0</v>
      </c>
      <c r="G165" s="191">
        <v>6000.0</v>
      </c>
      <c r="H165" s="190">
        <f>'PAINEL DE CONTROLE'!$J$5</f>
        <v>6544</v>
      </c>
      <c r="I165" s="190">
        <v>0.0</v>
      </c>
      <c r="J165" s="190">
        <f t="shared" si="3"/>
        <v>6000</v>
      </c>
      <c r="K165" s="190">
        <f t="shared" si="4"/>
        <v>-544</v>
      </c>
      <c r="L165" s="60"/>
      <c r="M165" s="31"/>
      <c r="N165" s="61"/>
      <c r="O165" s="60"/>
      <c r="P165" s="31"/>
      <c r="Q165" s="61"/>
      <c r="R165" s="60"/>
      <c r="S165" s="31"/>
      <c r="T165" s="61"/>
      <c r="U165" s="60"/>
      <c r="V165" s="31"/>
      <c r="W165" s="61"/>
      <c r="X165" s="60"/>
      <c r="Y165" s="31"/>
      <c r="Z165" s="61"/>
      <c r="AA165" s="60"/>
      <c r="AB165" s="31"/>
      <c r="AC165" s="61"/>
      <c r="AD165" s="60"/>
      <c r="AE165" s="31"/>
      <c r="AF165" s="61"/>
      <c r="AG165" s="60"/>
      <c r="AH165" s="31"/>
      <c r="AI165" s="61"/>
      <c r="AJ165" s="60"/>
      <c r="AK165" s="31"/>
      <c r="AL165" s="61"/>
      <c r="AM165" s="60"/>
      <c r="AN165" s="31"/>
      <c r="AO165" s="61"/>
      <c r="AP165" s="60"/>
      <c r="AQ165" s="31"/>
      <c r="AR165" s="61"/>
      <c r="AS165" s="60"/>
      <c r="AT165" s="31"/>
      <c r="AU165" s="61"/>
    </row>
    <row r="166" ht="36.75" customHeight="1">
      <c r="A166" s="62"/>
      <c r="B166" s="156"/>
      <c r="C166" s="105" t="str">
        <f>VLOOKUP(D166,[1]Saldo!A165:B31438,2,0)</f>
        <v>#ERROR!</v>
      </c>
      <c r="D166" s="156" t="s">
        <v>830</v>
      </c>
      <c r="E166" s="156" t="s">
        <v>672</v>
      </c>
      <c r="F166" s="189">
        <v>4.0</v>
      </c>
      <c r="G166" s="191">
        <v>6000.0</v>
      </c>
      <c r="H166" s="190">
        <f>'PAINEL DE CONTROLE'!$J$5</f>
        <v>6544</v>
      </c>
      <c r="I166" s="190">
        <v>0.0</v>
      </c>
      <c r="J166" s="190">
        <f t="shared" si="3"/>
        <v>6000</v>
      </c>
      <c r="K166" s="190">
        <f t="shared" si="4"/>
        <v>-544</v>
      </c>
      <c r="L166" s="60"/>
      <c r="M166" s="31"/>
      <c r="N166" s="61"/>
      <c r="O166" s="60"/>
      <c r="P166" s="31"/>
      <c r="Q166" s="61"/>
      <c r="R166" s="60"/>
      <c r="S166" s="31"/>
      <c r="T166" s="61"/>
      <c r="U166" s="60"/>
      <c r="V166" s="31"/>
      <c r="W166" s="61"/>
      <c r="X166" s="60"/>
      <c r="Y166" s="31"/>
      <c r="Z166" s="61"/>
      <c r="AA166" s="60"/>
      <c r="AB166" s="31"/>
      <c r="AC166" s="61"/>
      <c r="AD166" s="60"/>
      <c r="AE166" s="31"/>
      <c r="AF166" s="61"/>
      <c r="AG166" s="60"/>
      <c r="AH166" s="31"/>
      <c r="AI166" s="61"/>
      <c r="AJ166" s="60"/>
      <c r="AK166" s="31"/>
      <c r="AL166" s="61"/>
      <c r="AM166" s="60"/>
      <c r="AN166" s="31"/>
      <c r="AO166" s="61"/>
      <c r="AP166" s="60"/>
      <c r="AQ166" s="31"/>
      <c r="AR166" s="61"/>
      <c r="AS166" s="60"/>
      <c r="AT166" s="31"/>
      <c r="AU166" s="61"/>
    </row>
    <row r="167" ht="36.75" customHeight="1">
      <c r="A167" s="62"/>
      <c r="B167" s="156"/>
      <c r="C167" s="105" t="str">
        <f>VLOOKUP(D167,[1]Saldo!A166:B31439,2,0)</f>
        <v>#ERROR!</v>
      </c>
      <c r="D167" s="156" t="s">
        <v>831</v>
      </c>
      <c r="E167" s="156" t="s">
        <v>804</v>
      </c>
      <c r="F167" s="189">
        <v>4.0</v>
      </c>
      <c r="G167" s="191">
        <v>6000.0</v>
      </c>
      <c r="H167" s="190">
        <f>'PAINEL DE CONTROLE'!$J$5</f>
        <v>6544</v>
      </c>
      <c r="I167" s="190">
        <v>0.0</v>
      </c>
      <c r="J167" s="190">
        <f t="shared" si="3"/>
        <v>6000</v>
      </c>
      <c r="K167" s="190">
        <f t="shared" si="4"/>
        <v>-544</v>
      </c>
      <c r="L167" s="60"/>
      <c r="M167" s="31"/>
      <c r="N167" s="61"/>
      <c r="O167" s="60"/>
      <c r="P167" s="31"/>
      <c r="Q167" s="61"/>
      <c r="R167" s="60"/>
      <c r="S167" s="31"/>
      <c r="T167" s="61"/>
      <c r="U167" s="60"/>
      <c r="V167" s="31"/>
      <c r="W167" s="61"/>
      <c r="X167" s="60"/>
      <c r="Y167" s="31"/>
      <c r="Z167" s="61"/>
      <c r="AA167" s="60"/>
      <c r="AB167" s="31"/>
      <c r="AC167" s="61"/>
      <c r="AD167" s="60"/>
      <c r="AE167" s="31"/>
      <c r="AF167" s="61"/>
      <c r="AG167" s="60"/>
      <c r="AH167" s="31"/>
      <c r="AI167" s="61"/>
      <c r="AJ167" s="60"/>
      <c r="AK167" s="31"/>
      <c r="AL167" s="61"/>
      <c r="AM167" s="60"/>
      <c r="AN167" s="31"/>
      <c r="AO167" s="61"/>
      <c r="AP167" s="60"/>
      <c r="AQ167" s="31"/>
      <c r="AR167" s="61"/>
      <c r="AS167" s="60"/>
      <c r="AT167" s="31"/>
      <c r="AU167" s="61"/>
    </row>
    <row r="168" ht="36.75" customHeight="1">
      <c r="A168" s="62"/>
      <c r="B168" s="156"/>
      <c r="C168" s="105" t="str">
        <f>VLOOKUP(D168,[1]Saldo!A167:B31440,2,0)</f>
        <v>#ERROR!</v>
      </c>
      <c r="D168" s="156" t="s">
        <v>832</v>
      </c>
      <c r="E168" s="156" t="s">
        <v>672</v>
      </c>
      <c r="F168" s="189">
        <v>8.0</v>
      </c>
      <c r="G168" s="191">
        <v>6000.0</v>
      </c>
      <c r="H168" s="190">
        <f>'PAINEL DE CONTROLE'!$J$5</f>
        <v>6544</v>
      </c>
      <c r="I168" s="190">
        <v>0.0</v>
      </c>
      <c r="J168" s="190">
        <f t="shared" si="3"/>
        <v>6000</v>
      </c>
      <c r="K168" s="190">
        <f t="shared" si="4"/>
        <v>-544</v>
      </c>
      <c r="L168" s="60"/>
      <c r="M168" s="31"/>
      <c r="N168" s="61"/>
      <c r="O168" s="60"/>
      <c r="P168" s="31"/>
      <c r="Q168" s="61"/>
      <c r="R168" s="60"/>
      <c r="S168" s="31"/>
      <c r="T168" s="61"/>
      <c r="U168" s="60"/>
      <c r="V168" s="31"/>
      <c r="W168" s="61"/>
      <c r="X168" s="60"/>
      <c r="Y168" s="31"/>
      <c r="Z168" s="61"/>
      <c r="AA168" s="60"/>
      <c r="AB168" s="31"/>
      <c r="AC168" s="61"/>
      <c r="AD168" s="60"/>
      <c r="AE168" s="31"/>
      <c r="AF168" s="61"/>
      <c r="AG168" s="60"/>
      <c r="AH168" s="31"/>
      <c r="AI168" s="61"/>
      <c r="AJ168" s="60"/>
      <c r="AK168" s="31"/>
      <c r="AL168" s="61"/>
      <c r="AM168" s="60"/>
      <c r="AN168" s="31"/>
      <c r="AO168" s="61"/>
      <c r="AP168" s="60"/>
      <c r="AQ168" s="31"/>
      <c r="AR168" s="61"/>
      <c r="AS168" s="60"/>
      <c r="AT168" s="31"/>
      <c r="AU168" s="61"/>
    </row>
    <row r="169" ht="36.75" customHeight="1">
      <c r="A169" s="62"/>
      <c r="B169" s="156"/>
      <c r="C169" s="105" t="str">
        <f>VLOOKUP(D169,[1]Saldo!A168:B31441,2,0)</f>
        <v>#ERROR!</v>
      </c>
      <c r="D169" s="156" t="s">
        <v>833</v>
      </c>
      <c r="E169" s="156" t="s">
        <v>834</v>
      </c>
      <c r="F169" s="189">
        <v>2.0</v>
      </c>
      <c r="G169" s="191">
        <v>6000.0</v>
      </c>
      <c r="H169" s="190">
        <f>'PAINEL DE CONTROLE'!$J$5</f>
        <v>6544</v>
      </c>
      <c r="I169" s="190">
        <v>0.0</v>
      </c>
      <c r="J169" s="190">
        <f t="shared" si="3"/>
        <v>6000</v>
      </c>
      <c r="K169" s="190">
        <f t="shared" si="4"/>
        <v>-544</v>
      </c>
      <c r="L169" s="60"/>
      <c r="M169" s="31"/>
      <c r="N169" s="61"/>
      <c r="O169" s="60"/>
      <c r="P169" s="31"/>
      <c r="Q169" s="61"/>
      <c r="R169" s="60"/>
      <c r="S169" s="31"/>
      <c r="T169" s="61"/>
      <c r="U169" s="60"/>
      <c r="V169" s="31"/>
      <c r="W169" s="61"/>
      <c r="X169" s="60"/>
      <c r="Y169" s="31"/>
      <c r="Z169" s="61"/>
      <c r="AA169" s="60"/>
      <c r="AB169" s="31"/>
      <c r="AC169" s="61"/>
      <c r="AD169" s="60"/>
      <c r="AE169" s="31"/>
      <c r="AF169" s="61"/>
      <c r="AG169" s="60"/>
      <c r="AH169" s="31"/>
      <c r="AI169" s="61"/>
      <c r="AJ169" s="60"/>
      <c r="AK169" s="31"/>
      <c r="AL169" s="61"/>
      <c r="AM169" s="60"/>
      <c r="AN169" s="31"/>
      <c r="AO169" s="61"/>
      <c r="AP169" s="60"/>
      <c r="AQ169" s="31"/>
      <c r="AR169" s="61"/>
      <c r="AS169" s="60"/>
      <c r="AT169" s="31"/>
      <c r="AU169" s="61"/>
    </row>
    <row r="170" ht="36.75" customHeight="1">
      <c r="A170" s="62"/>
      <c r="B170" s="156"/>
      <c r="C170" s="105" t="str">
        <f>VLOOKUP(D170,[1]Saldo!A169:B31442,2,0)</f>
        <v>#ERROR!</v>
      </c>
      <c r="D170" s="156" t="s">
        <v>835</v>
      </c>
      <c r="E170" s="156" t="s">
        <v>672</v>
      </c>
      <c r="F170" s="189">
        <v>2.0</v>
      </c>
      <c r="G170" s="191">
        <v>6000.0</v>
      </c>
      <c r="H170" s="190">
        <f>'PAINEL DE CONTROLE'!$J$5</f>
        <v>6544</v>
      </c>
      <c r="I170" s="190">
        <v>0.0</v>
      </c>
      <c r="J170" s="190">
        <f t="shared" si="3"/>
        <v>6000</v>
      </c>
      <c r="K170" s="190">
        <f t="shared" si="4"/>
        <v>-544</v>
      </c>
      <c r="L170" s="60"/>
      <c r="M170" s="31"/>
      <c r="N170" s="61"/>
      <c r="O170" s="60"/>
      <c r="P170" s="31"/>
      <c r="Q170" s="61"/>
      <c r="R170" s="60"/>
      <c r="S170" s="31"/>
      <c r="T170" s="61"/>
      <c r="U170" s="60"/>
      <c r="V170" s="31"/>
      <c r="W170" s="61"/>
      <c r="X170" s="60"/>
      <c r="Y170" s="31"/>
      <c r="Z170" s="61"/>
      <c r="AA170" s="60"/>
      <c r="AB170" s="31"/>
      <c r="AC170" s="61"/>
      <c r="AD170" s="60"/>
      <c r="AE170" s="31"/>
      <c r="AF170" s="61"/>
      <c r="AG170" s="60"/>
      <c r="AH170" s="31"/>
      <c r="AI170" s="61"/>
      <c r="AJ170" s="60"/>
      <c r="AK170" s="31"/>
      <c r="AL170" s="61"/>
      <c r="AM170" s="60"/>
      <c r="AN170" s="31"/>
      <c r="AO170" s="61"/>
      <c r="AP170" s="60"/>
      <c r="AQ170" s="31"/>
      <c r="AR170" s="61"/>
      <c r="AS170" s="60"/>
      <c r="AT170" s="31"/>
      <c r="AU170" s="61"/>
    </row>
    <row r="171" ht="36.75" customHeight="1">
      <c r="A171" s="62"/>
      <c r="B171" s="156"/>
      <c r="C171" s="105" t="str">
        <f>VLOOKUP(D171,[1]Saldo!A170:B31443,2,0)</f>
        <v>#ERROR!</v>
      </c>
      <c r="D171" s="156" t="s">
        <v>836</v>
      </c>
      <c r="E171" s="156" t="s">
        <v>791</v>
      </c>
      <c r="F171" s="189">
        <v>4.0</v>
      </c>
      <c r="G171" s="191">
        <v>6000.0</v>
      </c>
      <c r="H171" s="190">
        <f>'PAINEL DE CONTROLE'!$J$5</f>
        <v>6544</v>
      </c>
      <c r="I171" s="190">
        <v>0.0</v>
      </c>
      <c r="J171" s="190">
        <f t="shared" si="3"/>
        <v>6000</v>
      </c>
      <c r="K171" s="190">
        <f t="shared" si="4"/>
        <v>-544</v>
      </c>
      <c r="L171" s="60"/>
      <c r="M171" s="31"/>
      <c r="N171" s="61"/>
      <c r="O171" s="60"/>
      <c r="P171" s="31"/>
      <c r="Q171" s="61"/>
      <c r="R171" s="60"/>
      <c r="S171" s="31"/>
      <c r="T171" s="61"/>
      <c r="U171" s="60"/>
      <c r="V171" s="31"/>
      <c r="W171" s="61"/>
      <c r="X171" s="60"/>
      <c r="Y171" s="31"/>
      <c r="Z171" s="61"/>
      <c r="AA171" s="60"/>
      <c r="AB171" s="31"/>
      <c r="AC171" s="61"/>
      <c r="AD171" s="60"/>
      <c r="AE171" s="31"/>
      <c r="AF171" s="61"/>
      <c r="AG171" s="60"/>
      <c r="AH171" s="31"/>
      <c r="AI171" s="61"/>
      <c r="AJ171" s="60"/>
      <c r="AK171" s="31"/>
      <c r="AL171" s="61"/>
      <c r="AM171" s="60"/>
      <c r="AN171" s="31"/>
      <c r="AO171" s="61"/>
      <c r="AP171" s="60"/>
      <c r="AQ171" s="31"/>
      <c r="AR171" s="61"/>
      <c r="AS171" s="60"/>
      <c r="AT171" s="31"/>
      <c r="AU171" s="61"/>
    </row>
    <row r="172" ht="36.75" customHeight="1">
      <c r="A172" s="62"/>
      <c r="B172" s="156"/>
      <c r="C172" s="105" t="str">
        <f>VLOOKUP(D172,[1]Saldo!A171:B31444,2,0)</f>
        <v>#ERROR!</v>
      </c>
      <c r="D172" s="156" t="s">
        <v>837</v>
      </c>
      <c r="E172" s="156" t="s">
        <v>834</v>
      </c>
      <c r="F172" s="189">
        <v>4.0</v>
      </c>
      <c r="G172" s="191">
        <v>6000.0</v>
      </c>
      <c r="H172" s="190">
        <f>'PAINEL DE CONTROLE'!$J$5</f>
        <v>6544</v>
      </c>
      <c r="I172" s="190">
        <v>0.0</v>
      </c>
      <c r="J172" s="190">
        <f t="shared" si="3"/>
        <v>6000</v>
      </c>
      <c r="K172" s="190">
        <f t="shared" si="4"/>
        <v>-544</v>
      </c>
      <c r="L172" s="60"/>
      <c r="M172" s="31"/>
      <c r="N172" s="61"/>
      <c r="O172" s="60"/>
      <c r="P172" s="31"/>
      <c r="Q172" s="61"/>
      <c r="R172" s="60"/>
      <c r="S172" s="31"/>
      <c r="T172" s="61"/>
      <c r="U172" s="60"/>
      <c r="V172" s="31"/>
      <c r="W172" s="61"/>
      <c r="X172" s="60"/>
      <c r="Y172" s="31"/>
      <c r="Z172" s="61"/>
      <c r="AA172" s="60"/>
      <c r="AB172" s="31"/>
      <c r="AC172" s="61"/>
      <c r="AD172" s="60"/>
      <c r="AE172" s="31"/>
      <c r="AF172" s="61"/>
      <c r="AG172" s="60"/>
      <c r="AH172" s="31"/>
      <c r="AI172" s="61"/>
      <c r="AJ172" s="60"/>
      <c r="AK172" s="31"/>
      <c r="AL172" s="61"/>
      <c r="AM172" s="60"/>
      <c r="AN172" s="31"/>
      <c r="AO172" s="61"/>
      <c r="AP172" s="60"/>
      <c r="AQ172" s="31"/>
      <c r="AR172" s="61"/>
      <c r="AS172" s="60"/>
      <c r="AT172" s="31"/>
      <c r="AU172" s="61"/>
    </row>
    <row r="173" ht="36.75" customHeight="1">
      <c r="A173" s="62"/>
      <c r="B173" s="156"/>
      <c r="C173" s="105" t="str">
        <f>VLOOKUP(D173,[1]Saldo!A172:B31445,2,0)</f>
        <v>#ERROR!</v>
      </c>
      <c r="D173" s="156" t="s">
        <v>663</v>
      </c>
      <c r="E173" s="156" t="s">
        <v>664</v>
      </c>
      <c r="F173" s="189">
        <v>2.0</v>
      </c>
      <c r="G173" s="191">
        <v>6000.0</v>
      </c>
      <c r="H173" s="190">
        <f>'PAINEL DE CONTROLE'!$J$5</f>
        <v>6544</v>
      </c>
      <c r="I173" s="190">
        <v>0.0</v>
      </c>
      <c r="J173" s="190">
        <f t="shared" si="3"/>
        <v>6000</v>
      </c>
      <c r="K173" s="190">
        <f t="shared" si="4"/>
        <v>-544</v>
      </c>
      <c r="L173" s="60"/>
      <c r="M173" s="31"/>
      <c r="N173" s="61"/>
      <c r="O173" s="60"/>
      <c r="P173" s="31"/>
      <c r="Q173" s="61"/>
      <c r="R173" s="60"/>
      <c r="S173" s="31"/>
      <c r="T173" s="61"/>
      <c r="U173" s="60"/>
      <c r="V173" s="31"/>
      <c r="W173" s="61"/>
      <c r="X173" s="60"/>
      <c r="Y173" s="31"/>
      <c r="Z173" s="61"/>
      <c r="AA173" s="60"/>
      <c r="AB173" s="31"/>
      <c r="AC173" s="61"/>
      <c r="AD173" s="60"/>
      <c r="AE173" s="31"/>
      <c r="AF173" s="61"/>
      <c r="AG173" s="60"/>
      <c r="AH173" s="31"/>
      <c r="AI173" s="61"/>
      <c r="AJ173" s="60"/>
      <c r="AK173" s="31"/>
      <c r="AL173" s="61"/>
      <c r="AM173" s="60"/>
      <c r="AN173" s="31"/>
      <c r="AO173" s="61"/>
      <c r="AP173" s="60"/>
      <c r="AQ173" s="31"/>
      <c r="AR173" s="61"/>
      <c r="AS173" s="60"/>
      <c r="AT173" s="31"/>
      <c r="AU173" s="61"/>
    </row>
    <row r="174" ht="36.75" customHeight="1">
      <c r="A174" s="62"/>
      <c r="B174" s="156"/>
      <c r="C174" s="105" t="str">
        <f>VLOOKUP(D174,[1]Saldo!A173:B31446,2,0)</f>
        <v>#ERROR!</v>
      </c>
      <c r="D174" s="156" t="s">
        <v>838</v>
      </c>
      <c r="E174" s="156" t="s">
        <v>750</v>
      </c>
      <c r="F174" s="189">
        <v>2.0</v>
      </c>
      <c r="G174" s="191">
        <v>6000.0</v>
      </c>
      <c r="H174" s="190">
        <f>'PAINEL DE CONTROLE'!$J$5</f>
        <v>6544</v>
      </c>
      <c r="I174" s="190">
        <v>0.0</v>
      </c>
      <c r="J174" s="190">
        <f t="shared" si="3"/>
        <v>6000</v>
      </c>
      <c r="K174" s="190">
        <f t="shared" si="4"/>
        <v>-544</v>
      </c>
      <c r="L174" s="60"/>
      <c r="M174" s="31"/>
      <c r="N174" s="61"/>
      <c r="O174" s="60"/>
      <c r="P174" s="31"/>
      <c r="Q174" s="61"/>
      <c r="R174" s="60"/>
      <c r="S174" s="31"/>
      <c r="T174" s="61"/>
      <c r="U174" s="60"/>
      <c r="V174" s="31"/>
      <c r="W174" s="61"/>
      <c r="X174" s="60"/>
      <c r="Y174" s="31"/>
      <c r="Z174" s="61"/>
      <c r="AA174" s="60"/>
      <c r="AB174" s="31"/>
      <c r="AC174" s="61"/>
      <c r="AD174" s="60"/>
      <c r="AE174" s="31"/>
      <c r="AF174" s="61"/>
      <c r="AG174" s="60"/>
      <c r="AH174" s="31"/>
      <c r="AI174" s="61"/>
      <c r="AJ174" s="60"/>
      <c r="AK174" s="31"/>
      <c r="AL174" s="61"/>
      <c r="AM174" s="60"/>
      <c r="AN174" s="31"/>
      <c r="AO174" s="61"/>
      <c r="AP174" s="60"/>
      <c r="AQ174" s="31"/>
      <c r="AR174" s="61"/>
      <c r="AS174" s="60"/>
      <c r="AT174" s="31"/>
      <c r="AU174" s="61"/>
    </row>
    <row r="175" ht="36.75" customHeight="1">
      <c r="A175" s="62"/>
      <c r="B175" s="156"/>
      <c r="C175" s="105" t="str">
        <f>VLOOKUP(D175,[1]Saldo!A174:B31447,2,0)</f>
        <v>#ERROR!</v>
      </c>
      <c r="D175" s="156" t="s">
        <v>839</v>
      </c>
      <c r="E175" s="156" t="s">
        <v>804</v>
      </c>
      <c r="F175" s="189">
        <v>2.0</v>
      </c>
      <c r="G175" s="191">
        <v>6000.0</v>
      </c>
      <c r="H175" s="190">
        <f>'PAINEL DE CONTROLE'!$J$5</f>
        <v>6544</v>
      </c>
      <c r="I175" s="190">
        <v>0.0</v>
      </c>
      <c r="J175" s="190">
        <f t="shared" si="3"/>
        <v>6000</v>
      </c>
      <c r="K175" s="190">
        <f t="shared" si="4"/>
        <v>-544</v>
      </c>
      <c r="L175" s="60"/>
      <c r="M175" s="31"/>
      <c r="N175" s="61"/>
      <c r="O175" s="60"/>
      <c r="P175" s="31"/>
      <c r="Q175" s="61"/>
      <c r="R175" s="60"/>
      <c r="S175" s="31"/>
      <c r="T175" s="61"/>
      <c r="U175" s="60"/>
      <c r="V175" s="31"/>
      <c r="W175" s="61"/>
      <c r="X175" s="60"/>
      <c r="Y175" s="31"/>
      <c r="Z175" s="61"/>
      <c r="AA175" s="60"/>
      <c r="AB175" s="31"/>
      <c r="AC175" s="61"/>
      <c r="AD175" s="60"/>
      <c r="AE175" s="31"/>
      <c r="AF175" s="61"/>
      <c r="AG175" s="60"/>
      <c r="AH175" s="31"/>
      <c r="AI175" s="61"/>
      <c r="AJ175" s="60"/>
      <c r="AK175" s="31"/>
      <c r="AL175" s="61"/>
      <c r="AM175" s="60"/>
      <c r="AN175" s="31"/>
      <c r="AO175" s="61"/>
      <c r="AP175" s="60"/>
      <c r="AQ175" s="31"/>
      <c r="AR175" s="61"/>
      <c r="AS175" s="60"/>
      <c r="AT175" s="31"/>
      <c r="AU175" s="61"/>
    </row>
    <row r="176" ht="36.75" customHeight="1">
      <c r="A176" s="62"/>
      <c r="B176" s="156"/>
      <c r="C176" s="105" t="str">
        <f>VLOOKUP(D176,[1]Saldo!A175:B31448,2,0)</f>
        <v>#ERROR!</v>
      </c>
      <c r="D176" s="156" t="s">
        <v>840</v>
      </c>
      <c r="E176" s="156" t="s">
        <v>750</v>
      </c>
      <c r="F176" s="189">
        <v>4.0</v>
      </c>
      <c r="G176" s="191">
        <v>6000.0</v>
      </c>
      <c r="H176" s="190">
        <f>'PAINEL DE CONTROLE'!$J$5</f>
        <v>6544</v>
      </c>
      <c r="I176" s="190">
        <v>0.0</v>
      </c>
      <c r="J176" s="190">
        <f t="shared" si="3"/>
        <v>6000</v>
      </c>
      <c r="K176" s="190">
        <f t="shared" si="4"/>
        <v>-544</v>
      </c>
      <c r="L176" s="60"/>
      <c r="M176" s="31"/>
      <c r="N176" s="61"/>
      <c r="O176" s="60"/>
      <c r="P176" s="31"/>
      <c r="Q176" s="61"/>
      <c r="R176" s="60"/>
      <c r="S176" s="31"/>
      <c r="T176" s="61"/>
      <c r="U176" s="60"/>
      <c r="V176" s="31"/>
      <c r="W176" s="61"/>
      <c r="X176" s="60"/>
      <c r="Y176" s="31"/>
      <c r="Z176" s="61"/>
      <c r="AA176" s="60"/>
      <c r="AB176" s="31"/>
      <c r="AC176" s="61"/>
      <c r="AD176" s="60"/>
      <c r="AE176" s="31"/>
      <c r="AF176" s="61"/>
      <c r="AG176" s="60"/>
      <c r="AH176" s="31"/>
      <c r="AI176" s="61"/>
      <c r="AJ176" s="60"/>
      <c r="AK176" s="31"/>
      <c r="AL176" s="61"/>
      <c r="AM176" s="60"/>
      <c r="AN176" s="31"/>
      <c r="AO176" s="61"/>
      <c r="AP176" s="60"/>
      <c r="AQ176" s="31"/>
      <c r="AR176" s="61"/>
      <c r="AS176" s="60"/>
      <c r="AT176" s="31"/>
      <c r="AU176" s="61"/>
    </row>
    <row r="177" ht="36.75" customHeight="1">
      <c r="A177" s="62"/>
      <c r="B177" s="156"/>
      <c r="C177" s="105" t="str">
        <f>VLOOKUP(D177,[1]Saldo!A176:B31449,2,0)</f>
        <v>#ERROR!</v>
      </c>
      <c r="D177" s="156" t="s">
        <v>841</v>
      </c>
      <c r="E177" s="156" t="s">
        <v>842</v>
      </c>
      <c r="F177" s="189">
        <v>8.0</v>
      </c>
      <c r="G177" s="191">
        <v>6000.0</v>
      </c>
      <c r="H177" s="190">
        <f>'PAINEL DE CONTROLE'!$J$5</f>
        <v>6544</v>
      </c>
      <c r="I177" s="190">
        <v>0.0</v>
      </c>
      <c r="J177" s="190">
        <f t="shared" si="3"/>
        <v>6000</v>
      </c>
      <c r="K177" s="190">
        <f t="shared" si="4"/>
        <v>-544</v>
      </c>
      <c r="L177" s="60"/>
      <c r="M177" s="31"/>
      <c r="N177" s="61"/>
      <c r="O177" s="60"/>
      <c r="P177" s="31"/>
      <c r="Q177" s="61"/>
      <c r="R177" s="60"/>
      <c r="S177" s="31"/>
      <c r="T177" s="61"/>
      <c r="U177" s="60"/>
      <c r="V177" s="31"/>
      <c r="W177" s="61"/>
      <c r="X177" s="60"/>
      <c r="Y177" s="31"/>
      <c r="Z177" s="61"/>
      <c r="AA177" s="60"/>
      <c r="AB177" s="31"/>
      <c r="AC177" s="61"/>
      <c r="AD177" s="60"/>
      <c r="AE177" s="31"/>
      <c r="AF177" s="61"/>
      <c r="AG177" s="60"/>
      <c r="AH177" s="31"/>
      <c r="AI177" s="61"/>
      <c r="AJ177" s="60"/>
      <c r="AK177" s="31"/>
      <c r="AL177" s="61"/>
      <c r="AM177" s="60"/>
      <c r="AN177" s="31"/>
      <c r="AO177" s="61"/>
      <c r="AP177" s="60"/>
      <c r="AQ177" s="31"/>
      <c r="AR177" s="61"/>
      <c r="AS177" s="60"/>
      <c r="AT177" s="31"/>
      <c r="AU177" s="61"/>
    </row>
    <row r="178" ht="36.75" customHeight="1">
      <c r="A178" s="62"/>
      <c r="B178" s="156"/>
      <c r="C178" s="105" t="str">
        <f>VLOOKUP(D178,[1]Saldo!A177:B31450,2,0)</f>
        <v>#ERROR!</v>
      </c>
      <c r="D178" s="156" t="s">
        <v>843</v>
      </c>
      <c r="E178" s="156" t="s">
        <v>791</v>
      </c>
      <c r="F178" s="189">
        <v>8.0</v>
      </c>
      <c r="G178" s="191">
        <v>6000.0</v>
      </c>
      <c r="H178" s="190">
        <f>'PAINEL DE CONTROLE'!$J$5</f>
        <v>6544</v>
      </c>
      <c r="I178" s="190">
        <v>0.0</v>
      </c>
      <c r="J178" s="190">
        <f t="shared" si="3"/>
        <v>6000</v>
      </c>
      <c r="K178" s="190">
        <f t="shared" si="4"/>
        <v>-544</v>
      </c>
      <c r="L178" s="60"/>
      <c r="M178" s="31"/>
      <c r="N178" s="61"/>
      <c r="O178" s="60"/>
      <c r="P178" s="31"/>
      <c r="Q178" s="61"/>
      <c r="R178" s="60"/>
      <c r="S178" s="31"/>
      <c r="T178" s="61"/>
      <c r="U178" s="60"/>
      <c r="V178" s="31"/>
      <c r="W178" s="61"/>
      <c r="X178" s="60"/>
      <c r="Y178" s="31"/>
      <c r="Z178" s="61"/>
      <c r="AA178" s="60"/>
      <c r="AB178" s="31"/>
      <c r="AC178" s="61"/>
      <c r="AD178" s="60"/>
      <c r="AE178" s="31"/>
      <c r="AF178" s="61"/>
      <c r="AG178" s="60"/>
      <c r="AH178" s="31"/>
      <c r="AI178" s="61"/>
      <c r="AJ178" s="60"/>
      <c r="AK178" s="31"/>
      <c r="AL178" s="61"/>
      <c r="AM178" s="60"/>
      <c r="AN178" s="31"/>
      <c r="AO178" s="61"/>
      <c r="AP178" s="60"/>
      <c r="AQ178" s="31"/>
      <c r="AR178" s="61"/>
      <c r="AS178" s="60"/>
      <c r="AT178" s="31"/>
      <c r="AU178" s="61"/>
    </row>
    <row r="179" ht="36.75" customHeight="1">
      <c r="A179" s="62"/>
      <c r="B179" s="156"/>
      <c r="C179" s="105" t="str">
        <f>VLOOKUP(D179,[1]Saldo!A178:B31451,2,0)</f>
        <v>#ERROR!</v>
      </c>
      <c r="D179" s="156" t="s">
        <v>844</v>
      </c>
      <c r="E179" s="156" t="s">
        <v>845</v>
      </c>
      <c r="F179" s="189">
        <v>4.0</v>
      </c>
      <c r="G179" s="191">
        <v>12000.0</v>
      </c>
      <c r="H179" s="190">
        <f>'PAINEL DE CONTROLE'!$J$5</f>
        <v>6544</v>
      </c>
      <c r="I179" s="190">
        <v>0.0</v>
      </c>
      <c r="J179" s="190">
        <f t="shared" si="3"/>
        <v>12000</v>
      </c>
      <c r="K179" s="190">
        <f t="shared" si="4"/>
        <v>5456</v>
      </c>
      <c r="L179" s="60"/>
      <c r="M179" s="31"/>
      <c r="N179" s="61"/>
      <c r="O179" s="60"/>
      <c r="P179" s="31"/>
      <c r="Q179" s="61"/>
      <c r="R179" s="60"/>
      <c r="S179" s="31"/>
      <c r="T179" s="61"/>
      <c r="U179" s="60"/>
      <c r="V179" s="31"/>
      <c r="W179" s="61"/>
      <c r="X179" s="60"/>
      <c r="Y179" s="31"/>
      <c r="Z179" s="61"/>
      <c r="AA179" s="60"/>
      <c r="AB179" s="31"/>
      <c r="AC179" s="61"/>
      <c r="AD179" s="60"/>
      <c r="AE179" s="31"/>
      <c r="AF179" s="61"/>
      <c r="AG179" s="60"/>
      <c r="AH179" s="31"/>
      <c r="AI179" s="61"/>
      <c r="AJ179" s="60"/>
      <c r="AK179" s="31"/>
      <c r="AL179" s="61"/>
      <c r="AM179" s="60"/>
      <c r="AN179" s="31"/>
      <c r="AO179" s="61"/>
      <c r="AP179" s="60"/>
      <c r="AQ179" s="31"/>
      <c r="AR179" s="61"/>
      <c r="AS179" s="60"/>
      <c r="AT179" s="31"/>
      <c r="AU179" s="61"/>
    </row>
    <row r="180" ht="36.75" customHeight="1">
      <c r="A180" s="62"/>
      <c r="B180" s="156"/>
      <c r="C180" s="105" t="str">
        <f>VLOOKUP(D180,[1]Saldo!A179:B31452,2,0)</f>
        <v>#ERROR!</v>
      </c>
      <c r="D180" s="156" t="s">
        <v>846</v>
      </c>
      <c r="E180" s="156" t="s">
        <v>785</v>
      </c>
      <c r="F180" s="189">
        <v>4.0</v>
      </c>
      <c r="G180" s="191">
        <v>12000.0</v>
      </c>
      <c r="H180" s="190">
        <f>'PAINEL DE CONTROLE'!$J$5</f>
        <v>6544</v>
      </c>
      <c r="I180" s="190">
        <v>0.0</v>
      </c>
      <c r="J180" s="190">
        <f t="shared" si="3"/>
        <v>12000</v>
      </c>
      <c r="K180" s="190">
        <f t="shared" si="4"/>
        <v>5456</v>
      </c>
      <c r="L180" s="60"/>
      <c r="M180" s="31"/>
      <c r="N180" s="61"/>
      <c r="O180" s="60"/>
      <c r="P180" s="31"/>
      <c r="Q180" s="61"/>
      <c r="R180" s="60"/>
      <c r="S180" s="31"/>
      <c r="T180" s="61"/>
      <c r="U180" s="60"/>
      <c r="V180" s="31"/>
      <c r="W180" s="61"/>
      <c r="X180" s="60"/>
      <c r="Y180" s="31"/>
      <c r="Z180" s="61"/>
      <c r="AA180" s="60"/>
      <c r="AB180" s="31"/>
      <c r="AC180" s="61"/>
      <c r="AD180" s="60"/>
      <c r="AE180" s="31"/>
      <c r="AF180" s="61"/>
      <c r="AG180" s="60"/>
      <c r="AH180" s="31"/>
      <c r="AI180" s="61"/>
      <c r="AJ180" s="60"/>
      <c r="AK180" s="31"/>
      <c r="AL180" s="61"/>
      <c r="AM180" s="60"/>
      <c r="AN180" s="31"/>
      <c r="AO180" s="61"/>
      <c r="AP180" s="60"/>
      <c r="AQ180" s="31"/>
      <c r="AR180" s="61"/>
      <c r="AS180" s="60"/>
      <c r="AT180" s="31"/>
      <c r="AU180" s="61"/>
    </row>
    <row r="181" ht="36.75" customHeight="1">
      <c r="A181" s="63"/>
      <c r="B181" s="156"/>
      <c r="C181" s="105" t="str">
        <f>VLOOKUP(D181,[1]Saldo!A180:B31453,2,0)</f>
        <v>#ERROR!</v>
      </c>
      <c r="D181" s="156" t="s">
        <v>847</v>
      </c>
      <c r="E181" s="156" t="s">
        <v>848</v>
      </c>
      <c r="F181" s="189">
        <v>4.0</v>
      </c>
      <c r="G181" s="191">
        <v>12000.0</v>
      </c>
      <c r="H181" s="190">
        <f>'PAINEL DE CONTROLE'!$J$5</f>
        <v>6544</v>
      </c>
      <c r="I181" s="190">
        <v>0.0</v>
      </c>
      <c r="J181" s="190">
        <f t="shared" si="3"/>
        <v>12000</v>
      </c>
      <c r="K181" s="190">
        <f t="shared" si="4"/>
        <v>5456</v>
      </c>
      <c r="L181" s="60"/>
      <c r="M181" s="31"/>
      <c r="N181" s="61"/>
      <c r="O181" s="60"/>
      <c r="P181" s="31"/>
      <c r="Q181" s="61"/>
      <c r="R181" s="60"/>
      <c r="S181" s="31"/>
      <c r="T181" s="61"/>
      <c r="U181" s="60"/>
      <c r="V181" s="31"/>
      <c r="W181" s="61"/>
      <c r="X181" s="60"/>
      <c r="Y181" s="31"/>
      <c r="Z181" s="61"/>
      <c r="AA181" s="60"/>
      <c r="AB181" s="31"/>
      <c r="AC181" s="61"/>
      <c r="AD181" s="60"/>
      <c r="AE181" s="31"/>
      <c r="AF181" s="61"/>
      <c r="AG181" s="60"/>
      <c r="AH181" s="31"/>
      <c r="AI181" s="61"/>
      <c r="AJ181" s="60"/>
      <c r="AK181" s="31"/>
      <c r="AL181" s="61"/>
      <c r="AM181" s="60"/>
      <c r="AN181" s="31"/>
      <c r="AO181" s="61"/>
      <c r="AP181" s="60"/>
      <c r="AQ181" s="31"/>
      <c r="AR181" s="61"/>
      <c r="AS181" s="60"/>
      <c r="AT181" s="31"/>
      <c r="AU181" s="61"/>
    </row>
    <row r="182" ht="36.75" customHeight="1">
      <c r="A182" s="147" t="s">
        <v>61</v>
      </c>
      <c r="B182" s="156"/>
      <c r="C182" s="105" t="str">
        <f>VLOOKUP(D182,[1]Saldo!A181:B31454,2,0)</f>
        <v>#ERROR!</v>
      </c>
      <c r="D182" s="156" t="s">
        <v>849</v>
      </c>
      <c r="E182" s="156" t="s">
        <v>850</v>
      </c>
      <c r="F182" s="189">
        <v>4.0</v>
      </c>
      <c r="G182" s="191">
        <v>6000.0</v>
      </c>
      <c r="H182" s="190">
        <f>'PAINEL DE CONTROLE'!$J$5</f>
        <v>6544</v>
      </c>
      <c r="I182" s="190">
        <v>0.0</v>
      </c>
      <c r="J182" s="190">
        <f t="shared" si="3"/>
        <v>6000</v>
      </c>
      <c r="K182" s="190">
        <f t="shared" si="4"/>
        <v>-544</v>
      </c>
      <c r="L182" s="60"/>
      <c r="M182" s="31"/>
      <c r="N182" s="61"/>
      <c r="O182" s="60"/>
      <c r="P182" s="31"/>
      <c r="Q182" s="61"/>
      <c r="R182" s="60"/>
      <c r="S182" s="31"/>
      <c r="T182" s="61"/>
      <c r="U182" s="60"/>
      <c r="V182" s="31"/>
      <c r="W182" s="61"/>
      <c r="X182" s="60"/>
      <c r="Y182" s="31"/>
      <c r="Z182" s="61"/>
      <c r="AA182" s="60"/>
      <c r="AB182" s="31"/>
      <c r="AC182" s="61"/>
      <c r="AD182" s="60"/>
      <c r="AE182" s="31"/>
      <c r="AF182" s="61"/>
      <c r="AG182" s="60"/>
      <c r="AH182" s="31"/>
      <c r="AI182" s="61"/>
      <c r="AJ182" s="60"/>
      <c r="AK182" s="31"/>
      <c r="AL182" s="61"/>
      <c r="AM182" s="60"/>
      <c r="AN182" s="31"/>
      <c r="AO182" s="61"/>
      <c r="AP182" s="60"/>
      <c r="AQ182" s="31"/>
      <c r="AR182" s="61"/>
      <c r="AS182" s="60"/>
      <c r="AT182" s="31"/>
      <c r="AU182" s="61"/>
    </row>
    <row r="183" ht="36.75" customHeight="1">
      <c r="A183" s="63"/>
      <c r="B183" s="156"/>
      <c r="C183" s="105" t="str">
        <f>VLOOKUP(D183,[1]Saldo!A182:B31455,2,0)</f>
        <v>#ERROR!</v>
      </c>
      <c r="D183" s="156" t="s">
        <v>851</v>
      </c>
      <c r="E183" s="156" t="s">
        <v>852</v>
      </c>
      <c r="F183" s="189">
        <v>4.0</v>
      </c>
      <c r="G183" s="191">
        <v>6000.0</v>
      </c>
      <c r="H183" s="190">
        <f>'PAINEL DE CONTROLE'!$J$5</f>
        <v>6544</v>
      </c>
      <c r="I183" s="190">
        <v>0.0</v>
      </c>
      <c r="J183" s="190">
        <f t="shared" si="3"/>
        <v>6000</v>
      </c>
      <c r="K183" s="190">
        <f t="shared" si="4"/>
        <v>-544</v>
      </c>
      <c r="L183" s="60"/>
      <c r="M183" s="31"/>
      <c r="N183" s="61"/>
      <c r="O183" s="60"/>
      <c r="P183" s="31"/>
      <c r="Q183" s="61"/>
      <c r="R183" s="60"/>
      <c r="S183" s="31"/>
      <c r="T183" s="61"/>
      <c r="U183" s="60"/>
      <c r="V183" s="31"/>
      <c r="W183" s="61"/>
      <c r="X183" s="60"/>
      <c r="Y183" s="31"/>
      <c r="Z183" s="61"/>
      <c r="AA183" s="60"/>
      <c r="AB183" s="31"/>
      <c r="AC183" s="61"/>
      <c r="AD183" s="60"/>
      <c r="AE183" s="31"/>
      <c r="AF183" s="61"/>
      <c r="AG183" s="60"/>
      <c r="AH183" s="31"/>
      <c r="AI183" s="61"/>
      <c r="AJ183" s="60"/>
      <c r="AK183" s="31"/>
      <c r="AL183" s="61"/>
      <c r="AM183" s="60"/>
      <c r="AN183" s="31"/>
      <c r="AO183" s="61"/>
      <c r="AP183" s="60"/>
      <c r="AQ183" s="31"/>
      <c r="AR183" s="61"/>
      <c r="AS183" s="60"/>
      <c r="AT183" s="31"/>
      <c r="AU183" s="61"/>
    </row>
    <row r="184" ht="36.75" customHeight="1">
      <c r="A184" s="147" t="s">
        <v>62</v>
      </c>
      <c r="B184" s="156"/>
      <c r="C184" s="105" t="str">
        <f>VLOOKUP(D184,[1]Saldo!A183:B31456,2,0)</f>
        <v>#ERROR!</v>
      </c>
      <c r="D184" s="156" t="s">
        <v>853</v>
      </c>
      <c r="E184" s="156" t="s">
        <v>796</v>
      </c>
      <c r="F184" s="189">
        <v>4.0</v>
      </c>
      <c r="G184" s="191">
        <v>2000.0</v>
      </c>
      <c r="H184" s="190">
        <f>'PAINEL DE CONTROLE'!$J$5</f>
        <v>6544</v>
      </c>
      <c r="I184" s="190">
        <v>0.0</v>
      </c>
      <c r="J184" s="190">
        <f t="shared" si="3"/>
        <v>2000</v>
      </c>
      <c r="K184" s="190">
        <f t="shared" si="4"/>
        <v>-4544</v>
      </c>
      <c r="L184" s="60"/>
      <c r="M184" s="31"/>
      <c r="N184" s="61"/>
      <c r="O184" s="60"/>
      <c r="P184" s="31"/>
      <c r="Q184" s="61"/>
      <c r="R184" s="60"/>
      <c r="S184" s="31"/>
      <c r="T184" s="61"/>
      <c r="U184" s="60"/>
      <c r="V184" s="31"/>
      <c r="W184" s="61"/>
      <c r="X184" s="60"/>
      <c r="Y184" s="31"/>
      <c r="Z184" s="61"/>
      <c r="AA184" s="60"/>
      <c r="AB184" s="31"/>
      <c r="AC184" s="61"/>
      <c r="AD184" s="60"/>
      <c r="AE184" s="31"/>
      <c r="AF184" s="61"/>
      <c r="AG184" s="60"/>
      <c r="AH184" s="31"/>
      <c r="AI184" s="61"/>
      <c r="AJ184" s="60"/>
      <c r="AK184" s="31"/>
      <c r="AL184" s="61"/>
      <c r="AM184" s="60"/>
      <c r="AN184" s="31"/>
      <c r="AO184" s="61"/>
      <c r="AP184" s="60"/>
      <c r="AQ184" s="31"/>
      <c r="AR184" s="61"/>
      <c r="AS184" s="60"/>
      <c r="AT184" s="31"/>
      <c r="AU184" s="61"/>
    </row>
    <row r="185" ht="36.75" customHeight="1">
      <c r="A185" s="62"/>
      <c r="B185" s="156"/>
      <c r="C185" s="105" t="str">
        <f>VLOOKUP(D185,[1]Saldo!A184:B31457,2,0)</f>
        <v>#ERROR!</v>
      </c>
      <c r="D185" s="156" t="s">
        <v>854</v>
      </c>
      <c r="E185" s="156" t="s">
        <v>581</v>
      </c>
      <c r="F185" s="189">
        <v>1.0</v>
      </c>
      <c r="G185" s="191">
        <v>2000.0</v>
      </c>
      <c r="H185" s="190">
        <f>'PAINEL DE CONTROLE'!$J$5</f>
        <v>6544</v>
      </c>
      <c r="I185" s="190">
        <v>0.0</v>
      </c>
      <c r="J185" s="190">
        <f t="shared" si="3"/>
        <v>2000</v>
      </c>
      <c r="K185" s="190">
        <f t="shared" si="4"/>
        <v>-4544</v>
      </c>
      <c r="L185" s="60"/>
      <c r="M185" s="31"/>
      <c r="N185" s="61"/>
      <c r="O185" s="60"/>
      <c r="P185" s="31"/>
      <c r="Q185" s="61"/>
      <c r="R185" s="60"/>
      <c r="S185" s="31"/>
      <c r="T185" s="61"/>
      <c r="U185" s="60"/>
      <c r="V185" s="31"/>
      <c r="W185" s="61"/>
      <c r="X185" s="60"/>
      <c r="Y185" s="31"/>
      <c r="Z185" s="61"/>
      <c r="AA185" s="60"/>
      <c r="AB185" s="31"/>
      <c r="AC185" s="61"/>
      <c r="AD185" s="60"/>
      <c r="AE185" s="31"/>
      <c r="AF185" s="61"/>
      <c r="AG185" s="60"/>
      <c r="AH185" s="31"/>
      <c r="AI185" s="61"/>
      <c r="AJ185" s="60"/>
      <c r="AK185" s="31"/>
      <c r="AL185" s="61"/>
      <c r="AM185" s="60"/>
      <c r="AN185" s="31"/>
      <c r="AO185" s="61"/>
      <c r="AP185" s="60"/>
      <c r="AQ185" s="31"/>
      <c r="AR185" s="61"/>
      <c r="AS185" s="60"/>
      <c r="AT185" s="31"/>
      <c r="AU185" s="61"/>
    </row>
    <row r="186" ht="36.75" customHeight="1">
      <c r="A186" s="62"/>
      <c r="B186" s="156"/>
      <c r="C186" s="105" t="str">
        <f>VLOOKUP(D186,[1]Saldo!A185:B31458,2,0)</f>
        <v>#ERROR!</v>
      </c>
      <c r="D186" s="156" t="s">
        <v>855</v>
      </c>
      <c r="E186" s="156" t="s">
        <v>581</v>
      </c>
      <c r="F186" s="189">
        <v>1.0</v>
      </c>
      <c r="G186" s="191">
        <v>2000.0</v>
      </c>
      <c r="H186" s="190">
        <f>'PAINEL DE CONTROLE'!$J$5</f>
        <v>6544</v>
      </c>
      <c r="I186" s="190">
        <v>0.0</v>
      </c>
      <c r="J186" s="190">
        <f t="shared" si="3"/>
        <v>2000</v>
      </c>
      <c r="K186" s="190">
        <f t="shared" si="4"/>
        <v>-4544</v>
      </c>
      <c r="L186" s="60"/>
      <c r="M186" s="31"/>
      <c r="N186" s="61"/>
      <c r="O186" s="60"/>
      <c r="P186" s="31"/>
      <c r="Q186" s="61"/>
      <c r="R186" s="60"/>
      <c r="S186" s="31"/>
      <c r="T186" s="61"/>
      <c r="U186" s="60"/>
      <c r="V186" s="31"/>
      <c r="W186" s="61"/>
      <c r="X186" s="60"/>
      <c r="Y186" s="31"/>
      <c r="Z186" s="61"/>
      <c r="AA186" s="60"/>
      <c r="AB186" s="31"/>
      <c r="AC186" s="61"/>
      <c r="AD186" s="60"/>
      <c r="AE186" s="31"/>
      <c r="AF186" s="61"/>
      <c r="AG186" s="60"/>
      <c r="AH186" s="31"/>
      <c r="AI186" s="61"/>
      <c r="AJ186" s="60"/>
      <c r="AK186" s="31"/>
      <c r="AL186" s="61"/>
      <c r="AM186" s="60"/>
      <c r="AN186" s="31"/>
      <c r="AO186" s="61"/>
      <c r="AP186" s="60"/>
      <c r="AQ186" s="31"/>
      <c r="AR186" s="61"/>
      <c r="AS186" s="60"/>
      <c r="AT186" s="31"/>
      <c r="AU186" s="61"/>
    </row>
    <row r="187" ht="36.75" customHeight="1">
      <c r="A187" s="62"/>
      <c r="B187" s="156"/>
      <c r="C187" s="105" t="str">
        <f>VLOOKUP(D187,[1]Saldo!A186:B31459,2,0)</f>
        <v>#ERROR!</v>
      </c>
      <c r="D187" s="156" t="s">
        <v>856</v>
      </c>
      <c r="E187" s="156" t="s">
        <v>857</v>
      </c>
      <c r="F187" s="189">
        <v>1.0</v>
      </c>
      <c r="G187" s="191">
        <v>2000.0</v>
      </c>
      <c r="H187" s="190">
        <f>'PAINEL DE CONTROLE'!$J$5</f>
        <v>6544</v>
      </c>
      <c r="I187" s="190">
        <v>0.0</v>
      </c>
      <c r="J187" s="190">
        <f t="shared" si="3"/>
        <v>2000</v>
      </c>
      <c r="K187" s="190">
        <f t="shared" si="4"/>
        <v>-4544</v>
      </c>
      <c r="L187" s="60"/>
      <c r="M187" s="31"/>
      <c r="N187" s="61"/>
      <c r="O187" s="60"/>
      <c r="P187" s="31"/>
      <c r="Q187" s="61"/>
      <c r="R187" s="60"/>
      <c r="S187" s="31"/>
      <c r="T187" s="61"/>
      <c r="U187" s="60"/>
      <c r="V187" s="31"/>
      <c r="W187" s="61"/>
      <c r="X187" s="60"/>
      <c r="Y187" s="31"/>
      <c r="Z187" s="61"/>
      <c r="AA187" s="60"/>
      <c r="AB187" s="31"/>
      <c r="AC187" s="61"/>
      <c r="AD187" s="60"/>
      <c r="AE187" s="31"/>
      <c r="AF187" s="61"/>
      <c r="AG187" s="60"/>
      <c r="AH187" s="31"/>
      <c r="AI187" s="61"/>
      <c r="AJ187" s="60"/>
      <c r="AK187" s="31"/>
      <c r="AL187" s="61"/>
      <c r="AM187" s="60"/>
      <c r="AN187" s="31"/>
      <c r="AO187" s="61"/>
      <c r="AP187" s="60"/>
      <c r="AQ187" s="31"/>
      <c r="AR187" s="61"/>
      <c r="AS187" s="60"/>
      <c r="AT187" s="31"/>
      <c r="AU187" s="61"/>
    </row>
    <row r="188" ht="36.75" customHeight="1">
      <c r="A188" s="62"/>
      <c r="B188" s="156"/>
      <c r="C188" s="105" t="str">
        <f>VLOOKUP(D188,[1]Saldo!A187:B31460,2,0)</f>
        <v>#ERROR!</v>
      </c>
      <c r="D188" s="156" t="s">
        <v>858</v>
      </c>
      <c r="E188" s="156" t="s">
        <v>796</v>
      </c>
      <c r="F188" s="189">
        <v>1.0</v>
      </c>
      <c r="G188" s="191">
        <v>2000.0</v>
      </c>
      <c r="H188" s="190">
        <f>'PAINEL DE CONTROLE'!$J$5</f>
        <v>6544</v>
      </c>
      <c r="I188" s="190">
        <v>0.0</v>
      </c>
      <c r="J188" s="190">
        <f t="shared" si="3"/>
        <v>2000</v>
      </c>
      <c r="K188" s="190">
        <f t="shared" si="4"/>
        <v>-4544</v>
      </c>
      <c r="L188" s="60"/>
      <c r="M188" s="31"/>
      <c r="N188" s="61"/>
      <c r="O188" s="60"/>
      <c r="P188" s="31"/>
      <c r="Q188" s="61"/>
      <c r="R188" s="60"/>
      <c r="S188" s="31"/>
      <c r="T188" s="61"/>
      <c r="U188" s="60"/>
      <c r="V188" s="31"/>
      <c r="W188" s="61"/>
      <c r="X188" s="60"/>
      <c r="Y188" s="31"/>
      <c r="Z188" s="61"/>
      <c r="AA188" s="60"/>
      <c r="AB188" s="31"/>
      <c r="AC188" s="61"/>
      <c r="AD188" s="60"/>
      <c r="AE188" s="31"/>
      <c r="AF188" s="61"/>
      <c r="AG188" s="60"/>
      <c r="AH188" s="31"/>
      <c r="AI188" s="61"/>
      <c r="AJ188" s="60"/>
      <c r="AK188" s="31"/>
      <c r="AL188" s="61"/>
      <c r="AM188" s="60"/>
      <c r="AN188" s="31"/>
      <c r="AO188" s="61"/>
      <c r="AP188" s="60"/>
      <c r="AQ188" s="31"/>
      <c r="AR188" s="61"/>
      <c r="AS188" s="60"/>
      <c r="AT188" s="31"/>
      <c r="AU188" s="61"/>
    </row>
    <row r="189" ht="36.75" customHeight="1">
      <c r="A189" s="62"/>
      <c r="B189" s="156"/>
      <c r="C189" s="105" t="str">
        <f>VLOOKUP(D189,[1]Saldo!A188:B31461,2,0)</f>
        <v>#ERROR!</v>
      </c>
      <c r="D189" s="156" t="s">
        <v>859</v>
      </c>
      <c r="E189" s="156" t="s">
        <v>714</v>
      </c>
      <c r="F189" s="189">
        <v>1.0</v>
      </c>
      <c r="G189" s="191">
        <v>2000.0</v>
      </c>
      <c r="H189" s="190">
        <f>'PAINEL DE CONTROLE'!$J$5</f>
        <v>6544</v>
      </c>
      <c r="I189" s="190">
        <v>0.0</v>
      </c>
      <c r="J189" s="190">
        <f t="shared" si="3"/>
        <v>2000</v>
      </c>
      <c r="K189" s="190">
        <f t="shared" si="4"/>
        <v>-4544</v>
      </c>
      <c r="L189" s="60"/>
      <c r="M189" s="31"/>
      <c r="N189" s="61"/>
      <c r="O189" s="60"/>
      <c r="P189" s="31"/>
      <c r="Q189" s="61"/>
      <c r="R189" s="60"/>
      <c r="S189" s="31"/>
      <c r="T189" s="61"/>
      <c r="U189" s="60"/>
      <c r="V189" s="31"/>
      <c r="W189" s="61"/>
      <c r="X189" s="60"/>
      <c r="Y189" s="31"/>
      <c r="Z189" s="61"/>
      <c r="AA189" s="60"/>
      <c r="AB189" s="31"/>
      <c r="AC189" s="61"/>
      <c r="AD189" s="60"/>
      <c r="AE189" s="31"/>
      <c r="AF189" s="61"/>
      <c r="AG189" s="60"/>
      <c r="AH189" s="31"/>
      <c r="AI189" s="61"/>
      <c r="AJ189" s="60"/>
      <c r="AK189" s="31"/>
      <c r="AL189" s="61"/>
      <c r="AM189" s="60"/>
      <c r="AN189" s="31"/>
      <c r="AO189" s="61"/>
      <c r="AP189" s="60"/>
      <c r="AQ189" s="31"/>
      <c r="AR189" s="61"/>
      <c r="AS189" s="60"/>
      <c r="AT189" s="31"/>
      <c r="AU189" s="61"/>
    </row>
    <row r="190" ht="36.75" customHeight="1">
      <c r="A190" s="62"/>
      <c r="B190" s="156"/>
      <c r="C190" s="105" t="str">
        <f>VLOOKUP(D190,[1]Saldo!A189:B31462,2,0)</f>
        <v>#ERROR!</v>
      </c>
      <c r="D190" s="156" t="s">
        <v>860</v>
      </c>
      <c r="E190" s="156" t="s">
        <v>714</v>
      </c>
      <c r="F190" s="189">
        <v>1.0</v>
      </c>
      <c r="G190" s="191">
        <v>2000.0</v>
      </c>
      <c r="H190" s="190">
        <f>'PAINEL DE CONTROLE'!$J$5</f>
        <v>6544</v>
      </c>
      <c r="I190" s="190">
        <v>0.0</v>
      </c>
      <c r="J190" s="190">
        <f t="shared" si="3"/>
        <v>2000</v>
      </c>
      <c r="K190" s="190">
        <f t="shared" si="4"/>
        <v>-4544</v>
      </c>
      <c r="L190" s="60"/>
      <c r="M190" s="31"/>
      <c r="N190" s="61"/>
      <c r="O190" s="60"/>
      <c r="P190" s="31"/>
      <c r="Q190" s="61"/>
      <c r="R190" s="60"/>
      <c r="S190" s="31"/>
      <c r="T190" s="61"/>
      <c r="U190" s="60"/>
      <c r="V190" s="31"/>
      <c r="W190" s="61"/>
      <c r="X190" s="60"/>
      <c r="Y190" s="31"/>
      <c r="Z190" s="61"/>
      <c r="AA190" s="60"/>
      <c r="AB190" s="31"/>
      <c r="AC190" s="61"/>
      <c r="AD190" s="60"/>
      <c r="AE190" s="31"/>
      <c r="AF190" s="61"/>
      <c r="AG190" s="60"/>
      <c r="AH190" s="31"/>
      <c r="AI190" s="61"/>
      <c r="AJ190" s="60"/>
      <c r="AK190" s="31"/>
      <c r="AL190" s="61"/>
      <c r="AM190" s="60"/>
      <c r="AN190" s="31"/>
      <c r="AO190" s="61"/>
      <c r="AP190" s="60"/>
      <c r="AQ190" s="31"/>
      <c r="AR190" s="61"/>
      <c r="AS190" s="60"/>
      <c r="AT190" s="31"/>
      <c r="AU190" s="61"/>
    </row>
    <row r="191" ht="36.75" customHeight="1">
      <c r="A191" s="62"/>
      <c r="B191" s="156"/>
      <c r="C191" s="105" t="str">
        <f>VLOOKUP(D191,[1]Saldo!A190:B31463,2,0)</f>
        <v>#ERROR!</v>
      </c>
      <c r="D191" s="156" t="s">
        <v>861</v>
      </c>
      <c r="E191" s="156" t="s">
        <v>796</v>
      </c>
      <c r="F191" s="189">
        <v>2.0</v>
      </c>
      <c r="G191" s="191">
        <v>2000.0</v>
      </c>
      <c r="H191" s="190">
        <f>'PAINEL DE CONTROLE'!$J$5</f>
        <v>6544</v>
      </c>
      <c r="I191" s="190">
        <v>0.0</v>
      </c>
      <c r="J191" s="190">
        <f t="shared" si="3"/>
        <v>2000</v>
      </c>
      <c r="K191" s="190">
        <f t="shared" si="4"/>
        <v>-4544</v>
      </c>
      <c r="L191" s="60"/>
      <c r="M191" s="31"/>
      <c r="N191" s="61"/>
      <c r="O191" s="60"/>
      <c r="P191" s="31"/>
      <c r="Q191" s="61"/>
      <c r="R191" s="60"/>
      <c r="S191" s="31"/>
      <c r="T191" s="61"/>
      <c r="U191" s="60"/>
      <c r="V191" s="31"/>
      <c r="W191" s="61"/>
      <c r="X191" s="60"/>
      <c r="Y191" s="31"/>
      <c r="Z191" s="61"/>
      <c r="AA191" s="60"/>
      <c r="AB191" s="31"/>
      <c r="AC191" s="61"/>
      <c r="AD191" s="60"/>
      <c r="AE191" s="31"/>
      <c r="AF191" s="61"/>
      <c r="AG191" s="60"/>
      <c r="AH191" s="31"/>
      <c r="AI191" s="61"/>
      <c r="AJ191" s="60"/>
      <c r="AK191" s="31"/>
      <c r="AL191" s="61"/>
      <c r="AM191" s="60"/>
      <c r="AN191" s="31"/>
      <c r="AO191" s="61"/>
      <c r="AP191" s="60"/>
      <c r="AQ191" s="31"/>
      <c r="AR191" s="61"/>
      <c r="AS191" s="60"/>
      <c r="AT191" s="31"/>
      <c r="AU191" s="61"/>
    </row>
    <row r="192" ht="36.75" customHeight="1">
      <c r="A192" s="62"/>
      <c r="B192" s="156"/>
      <c r="C192" s="105" t="str">
        <f>VLOOKUP(D192,[1]Saldo!A191:B31464,2,0)</f>
        <v>#ERROR!</v>
      </c>
      <c r="D192" s="156" t="s">
        <v>859</v>
      </c>
      <c r="E192" s="156" t="s">
        <v>714</v>
      </c>
      <c r="F192" s="189">
        <v>3.0</v>
      </c>
      <c r="G192" s="191">
        <v>6000.0</v>
      </c>
      <c r="H192" s="190">
        <f>'PAINEL DE CONTROLE'!$J$5</f>
        <v>6544</v>
      </c>
      <c r="I192" s="190">
        <v>0.0</v>
      </c>
      <c r="J192" s="190">
        <f t="shared" si="3"/>
        <v>6000</v>
      </c>
      <c r="K192" s="190">
        <f t="shared" si="4"/>
        <v>-544</v>
      </c>
      <c r="L192" s="60"/>
      <c r="M192" s="31"/>
      <c r="N192" s="61"/>
      <c r="O192" s="60"/>
      <c r="P192" s="31"/>
      <c r="Q192" s="61"/>
      <c r="R192" s="60"/>
      <c r="S192" s="31"/>
      <c r="T192" s="61"/>
      <c r="U192" s="60"/>
      <c r="V192" s="31"/>
      <c r="W192" s="61"/>
      <c r="X192" s="60"/>
      <c r="Y192" s="31"/>
      <c r="Z192" s="61"/>
      <c r="AA192" s="60"/>
      <c r="AB192" s="31"/>
      <c r="AC192" s="61"/>
      <c r="AD192" s="60"/>
      <c r="AE192" s="31"/>
      <c r="AF192" s="61"/>
      <c r="AG192" s="60"/>
      <c r="AH192" s="31"/>
      <c r="AI192" s="61"/>
      <c r="AJ192" s="60"/>
      <c r="AK192" s="31"/>
      <c r="AL192" s="61"/>
      <c r="AM192" s="60"/>
      <c r="AN192" s="31"/>
      <c r="AO192" s="61"/>
      <c r="AP192" s="60"/>
      <c r="AQ192" s="31"/>
      <c r="AR192" s="61"/>
      <c r="AS192" s="60"/>
      <c r="AT192" s="31"/>
      <c r="AU192" s="61"/>
    </row>
    <row r="193" ht="36.75" customHeight="1">
      <c r="A193" s="62"/>
      <c r="B193" s="156"/>
      <c r="C193" s="105" t="str">
        <f>VLOOKUP(D193,[1]Saldo!A192:B31465,2,0)</f>
        <v>#ERROR!</v>
      </c>
      <c r="D193" s="156" t="s">
        <v>861</v>
      </c>
      <c r="E193" s="156" t="s">
        <v>796</v>
      </c>
      <c r="F193" s="189">
        <v>6.0</v>
      </c>
      <c r="G193" s="191">
        <v>6000.0</v>
      </c>
      <c r="H193" s="190">
        <f>'PAINEL DE CONTROLE'!$J$5</f>
        <v>6544</v>
      </c>
      <c r="I193" s="190">
        <v>0.0</v>
      </c>
      <c r="J193" s="190">
        <f t="shared" si="3"/>
        <v>6000</v>
      </c>
      <c r="K193" s="190">
        <f t="shared" si="4"/>
        <v>-544</v>
      </c>
      <c r="L193" s="60"/>
      <c r="M193" s="31"/>
      <c r="N193" s="61"/>
      <c r="O193" s="60"/>
      <c r="P193" s="31"/>
      <c r="Q193" s="61"/>
      <c r="R193" s="60"/>
      <c r="S193" s="31"/>
      <c r="T193" s="61"/>
      <c r="U193" s="60"/>
      <c r="V193" s="31"/>
      <c r="W193" s="61"/>
      <c r="X193" s="60"/>
      <c r="Y193" s="31"/>
      <c r="Z193" s="61"/>
      <c r="AA193" s="60"/>
      <c r="AB193" s="31"/>
      <c r="AC193" s="61"/>
      <c r="AD193" s="60"/>
      <c r="AE193" s="31"/>
      <c r="AF193" s="61"/>
      <c r="AG193" s="60"/>
      <c r="AH193" s="31"/>
      <c r="AI193" s="61"/>
      <c r="AJ193" s="60"/>
      <c r="AK193" s="31"/>
      <c r="AL193" s="61"/>
      <c r="AM193" s="60"/>
      <c r="AN193" s="31"/>
      <c r="AO193" s="61"/>
      <c r="AP193" s="60"/>
      <c r="AQ193" s="31"/>
      <c r="AR193" s="61"/>
      <c r="AS193" s="60"/>
      <c r="AT193" s="31"/>
      <c r="AU193" s="61"/>
    </row>
    <row r="194" ht="36.75" customHeight="1">
      <c r="A194" s="62"/>
      <c r="B194" s="156"/>
      <c r="C194" s="105" t="str">
        <f>VLOOKUP(D194,[1]Saldo!A193:B31466,2,0)</f>
        <v>#ERROR!</v>
      </c>
      <c r="D194" s="156" t="s">
        <v>862</v>
      </c>
      <c r="E194" s="156" t="s">
        <v>718</v>
      </c>
      <c r="F194" s="189">
        <v>6.0</v>
      </c>
      <c r="G194" s="191">
        <v>6000.0</v>
      </c>
      <c r="H194" s="190">
        <f>'PAINEL DE CONTROLE'!$J$5</f>
        <v>6544</v>
      </c>
      <c r="I194" s="190">
        <v>0.0</v>
      </c>
      <c r="J194" s="190">
        <f t="shared" si="3"/>
        <v>6000</v>
      </c>
      <c r="K194" s="190">
        <f t="shared" si="4"/>
        <v>-544</v>
      </c>
      <c r="L194" s="60"/>
      <c r="M194" s="31"/>
      <c r="N194" s="61"/>
      <c r="O194" s="60"/>
      <c r="P194" s="31"/>
      <c r="Q194" s="61"/>
      <c r="R194" s="60"/>
      <c r="S194" s="31"/>
      <c r="T194" s="61"/>
      <c r="U194" s="60"/>
      <c r="V194" s="31"/>
      <c r="W194" s="61"/>
      <c r="X194" s="60"/>
      <c r="Y194" s="31"/>
      <c r="Z194" s="61"/>
      <c r="AA194" s="60"/>
      <c r="AB194" s="31"/>
      <c r="AC194" s="61"/>
      <c r="AD194" s="60"/>
      <c r="AE194" s="31"/>
      <c r="AF194" s="61"/>
      <c r="AG194" s="60"/>
      <c r="AH194" s="31"/>
      <c r="AI194" s="61"/>
      <c r="AJ194" s="60"/>
      <c r="AK194" s="31"/>
      <c r="AL194" s="61"/>
      <c r="AM194" s="60"/>
      <c r="AN194" s="31"/>
      <c r="AO194" s="61"/>
      <c r="AP194" s="60"/>
      <c r="AQ194" s="31"/>
      <c r="AR194" s="61"/>
      <c r="AS194" s="60"/>
      <c r="AT194" s="31"/>
      <c r="AU194" s="61"/>
    </row>
    <row r="195" ht="36.75" customHeight="1">
      <c r="A195" s="62"/>
      <c r="B195" s="156"/>
      <c r="C195" s="105" t="str">
        <f>VLOOKUP(D195,[1]Saldo!A194:B31467,2,0)</f>
        <v>#ERROR!</v>
      </c>
      <c r="D195" s="156" t="s">
        <v>863</v>
      </c>
      <c r="E195" s="156" t="s">
        <v>796</v>
      </c>
      <c r="F195" s="189">
        <v>2.0</v>
      </c>
      <c r="G195" s="191">
        <v>6000.0</v>
      </c>
      <c r="H195" s="190">
        <f>'PAINEL DE CONTROLE'!$J$5</f>
        <v>6544</v>
      </c>
      <c r="I195" s="190">
        <v>0.0</v>
      </c>
      <c r="J195" s="190">
        <f t="shared" si="3"/>
        <v>6000</v>
      </c>
      <c r="K195" s="190">
        <f t="shared" si="4"/>
        <v>-544</v>
      </c>
      <c r="L195" s="60"/>
      <c r="M195" s="31"/>
      <c r="N195" s="61"/>
      <c r="O195" s="60"/>
      <c r="P195" s="31"/>
      <c r="Q195" s="61"/>
      <c r="R195" s="60"/>
      <c r="S195" s="31"/>
      <c r="T195" s="61"/>
      <c r="U195" s="60"/>
      <c r="V195" s="31"/>
      <c r="W195" s="61"/>
      <c r="X195" s="60"/>
      <c r="Y195" s="31"/>
      <c r="Z195" s="61"/>
      <c r="AA195" s="60"/>
      <c r="AB195" s="31"/>
      <c r="AC195" s="61"/>
      <c r="AD195" s="60"/>
      <c r="AE195" s="31"/>
      <c r="AF195" s="61"/>
      <c r="AG195" s="60"/>
      <c r="AH195" s="31"/>
      <c r="AI195" s="61"/>
      <c r="AJ195" s="60"/>
      <c r="AK195" s="31"/>
      <c r="AL195" s="61"/>
      <c r="AM195" s="60"/>
      <c r="AN195" s="31"/>
      <c r="AO195" s="61"/>
      <c r="AP195" s="60"/>
      <c r="AQ195" s="31"/>
      <c r="AR195" s="61"/>
      <c r="AS195" s="60"/>
      <c r="AT195" s="31"/>
      <c r="AU195" s="61"/>
    </row>
    <row r="196" ht="36.75" customHeight="1">
      <c r="A196" s="62"/>
      <c r="B196" s="156"/>
      <c r="C196" s="105" t="str">
        <f>VLOOKUP(D196,[1]Saldo!A195:B31468,2,0)</f>
        <v>#ERROR!</v>
      </c>
      <c r="D196" s="156" t="s">
        <v>864</v>
      </c>
      <c r="E196" s="156" t="s">
        <v>865</v>
      </c>
      <c r="F196" s="189">
        <v>6.0</v>
      </c>
      <c r="G196" s="191">
        <v>6000.0</v>
      </c>
      <c r="H196" s="190">
        <f>'PAINEL DE CONTROLE'!$J$5</f>
        <v>6544</v>
      </c>
      <c r="I196" s="190">
        <v>0.0</v>
      </c>
      <c r="J196" s="190">
        <f t="shared" si="3"/>
        <v>6000</v>
      </c>
      <c r="K196" s="190">
        <f t="shared" si="4"/>
        <v>-544</v>
      </c>
      <c r="L196" s="60"/>
      <c r="M196" s="31"/>
      <c r="N196" s="61"/>
      <c r="O196" s="60"/>
      <c r="P196" s="31"/>
      <c r="Q196" s="61"/>
      <c r="R196" s="60"/>
      <c r="S196" s="31"/>
      <c r="T196" s="61"/>
      <c r="U196" s="60"/>
      <c r="V196" s="31"/>
      <c r="W196" s="61"/>
      <c r="X196" s="60"/>
      <c r="Y196" s="31"/>
      <c r="Z196" s="61"/>
      <c r="AA196" s="60"/>
      <c r="AB196" s="31"/>
      <c r="AC196" s="61"/>
      <c r="AD196" s="60"/>
      <c r="AE196" s="31"/>
      <c r="AF196" s="61"/>
      <c r="AG196" s="60"/>
      <c r="AH196" s="31"/>
      <c r="AI196" s="61"/>
      <c r="AJ196" s="60"/>
      <c r="AK196" s="31"/>
      <c r="AL196" s="61"/>
      <c r="AM196" s="60"/>
      <c r="AN196" s="31"/>
      <c r="AO196" s="61"/>
      <c r="AP196" s="60"/>
      <c r="AQ196" s="31"/>
      <c r="AR196" s="61"/>
      <c r="AS196" s="60"/>
      <c r="AT196" s="31"/>
      <c r="AU196" s="61"/>
    </row>
    <row r="197" ht="36.75" customHeight="1">
      <c r="A197" s="62"/>
      <c r="B197" s="156"/>
      <c r="C197" s="105" t="str">
        <f>VLOOKUP(D197,[1]Saldo!A196:B31469,2,0)</f>
        <v>#ERROR!</v>
      </c>
      <c r="D197" s="156" t="s">
        <v>866</v>
      </c>
      <c r="E197" s="156" t="s">
        <v>714</v>
      </c>
      <c r="F197" s="189">
        <v>2.0</v>
      </c>
      <c r="G197" s="191">
        <v>6000.0</v>
      </c>
      <c r="H197" s="190">
        <f>'PAINEL DE CONTROLE'!$J$5</f>
        <v>6544</v>
      </c>
      <c r="I197" s="190">
        <v>0.0</v>
      </c>
      <c r="J197" s="190">
        <f t="shared" si="3"/>
        <v>6000</v>
      </c>
      <c r="K197" s="190">
        <f t="shared" si="4"/>
        <v>-544</v>
      </c>
      <c r="L197" s="60"/>
      <c r="M197" s="31"/>
      <c r="N197" s="61"/>
      <c r="O197" s="60"/>
      <c r="P197" s="31"/>
      <c r="Q197" s="61"/>
      <c r="R197" s="60"/>
      <c r="S197" s="31"/>
      <c r="T197" s="61"/>
      <c r="U197" s="60"/>
      <c r="V197" s="31"/>
      <c r="W197" s="61"/>
      <c r="X197" s="60"/>
      <c r="Y197" s="31"/>
      <c r="Z197" s="61"/>
      <c r="AA197" s="60"/>
      <c r="AB197" s="31"/>
      <c r="AC197" s="61"/>
      <c r="AD197" s="60"/>
      <c r="AE197" s="31"/>
      <c r="AF197" s="61"/>
      <c r="AG197" s="60"/>
      <c r="AH197" s="31"/>
      <c r="AI197" s="61"/>
      <c r="AJ197" s="60"/>
      <c r="AK197" s="31"/>
      <c r="AL197" s="61"/>
      <c r="AM197" s="60"/>
      <c r="AN197" s="31"/>
      <c r="AO197" s="61"/>
      <c r="AP197" s="60"/>
      <c r="AQ197" s="31"/>
      <c r="AR197" s="61"/>
      <c r="AS197" s="60"/>
      <c r="AT197" s="31"/>
      <c r="AU197" s="61"/>
    </row>
    <row r="198" ht="36.75" customHeight="1">
      <c r="A198" s="62"/>
      <c r="B198" s="156"/>
      <c r="C198" s="105" t="str">
        <f>VLOOKUP(D198,[1]Saldo!A197:B31470,2,0)</f>
        <v>#ERROR!</v>
      </c>
      <c r="D198" s="156" t="s">
        <v>867</v>
      </c>
      <c r="E198" s="156" t="s">
        <v>868</v>
      </c>
      <c r="F198" s="189">
        <v>3.0</v>
      </c>
      <c r="G198" s="191">
        <v>6000.0</v>
      </c>
      <c r="H198" s="190">
        <f>'PAINEL DE CONTROLE'!$J$5</f>
        <v>6544</v>
      </c>
      <c r="I198" s="190">
        <v>0.0</v>
      </c>
      <c r="J198" s="190">
        <f t="shared" si="3"/>
        <v>6000</v>
      </c>
      <c r="K198" s="190">
        <f t="shared" si="4"/>
        <v>-544</v>
      </c>
      <c r="L198" s="60"/>
      <c r="M198" s="31"/>
      <c r="N198" s="61"/>
      <c r="O198" s="60"/>
      <c r="P198" s="31"/>
      <c r="Q198" s="61"/>
      <c r="R198" s="60"/>
      <c r="S198" s="31"/>
      <c r="T198" s="61"/>
      <c r="U198" s="60"/>
      <c r="V198" s="31"/>
      <c r="W198" s="61"/>
      <c r="X198" s="60"/>
      <c r="Y198" s="31"/>
      <c r="Z198" s="61"/>
      <c r="AA198" s="60"/>
      <c r="AB198" s="31"/>
      <c r="AC198" s="61"/>
      <c r="AD198" s="60"/>
      <c r="AE198" s="31"/>
      <c r="AF198" s="61"/>
      <c r="AG198" s="60"/>
      <c r="AH198" s="31"/>
      <c r="AI198" s="61"/>
      <c r="AJ198" s="60"/>
      <c r="AK198" s="31"/>
      <c r="AL198" s="61"/>
      <c r="AM198" s="60"/>
      <c r="AN198" s="31"/>
      <c r="AO198" s="61"/>
      <c r="AP198" s="60"/>
      <c r="AQ198" s="31"/>
      <c r="AR198" s="61"/>
      <c r="AS198" s="60"/>
      <c r="AT198" s="31"/>
      <c r="AU198" s="61"/>
    </row>
    <row r="199" ht="36.75" customHeight="1">
      <c r="A199" s="62"/>
      <c r="B199" s="156"/>
      <c r="C199" s="105" t="str">
        <f>VLOOKUP(D199,[1]Saldo!A198:B31471,2,0)</f>
        <v>#ERROR!</v>
      </c>
      <c r="D199" s="156" t="s">
        <v>869</v>
      </c>
      <c r="E199" s="156" t="s">
        <v>581</v>
      </c>
      <c r="F199" s="189">
        <v>1.0</v>
      </c>
      <c r="G199" s="191">
        <v>6000.0</v>
      </c>
      <c r="H199" s="190">
        <f>'PAINEL DE CONTROLE'!$J$5</f>
        <v>6544</v>
      </c>
      <c r="I199" s="190">
        <v>0.0</v>
      </c>
      <c r="J199" s="190">
        <f t="shared" si="3"/>
        <v>6000</v>
      </c>
      <c r="K199" s="190">
        <f t="shared" si="4"/>
        <v>-544</v>
      </c>
      <c r="L199" s="60"/>
      <c r="M199" s="31"/>
      <c r="N199" s="61"/>
      <c r="O199" s="60"/>
      <c r="P199" s="31"/>
      <c r="Q199" s="61"/>
      <c r="R199" s="60"/>
      <c r="S199" s="31"/>
      <c r="T199" s="61"/>
      <c r="U199" s="60"/>
      <c r="V199" s="31"/>
      <c r="W199" s="61"/>
      <c r="X199" s="60"/>
      <c r="Y199" s="31"/>
      <c r="Z199" s="61"/>
      <c r="AA199" s="60"/>
      <c r="AB199" s="31"/>
      <c r="AC199" s="61"/>
      <c r="AD199" s="60"/>
      <c r="AE199" s="31"/>
      <c r="AF199" s="61"/>
      <c r="AG199" s="60"/>
      <c r="AH199" s="31"/>
      <c r="AI199" s="61"/>
      <c r="AJ199" s="60"/>
      <c r="AK199" s="31"/>
      <c r="AL199" s="61"/>
      <c r="AM199" s="60"/>
      <c r="AN199" s="31"/>
      <c r="AO199" s="61"/>
      <c r="AP199" s="60"/>
      <c r="AQ199" s="31"/>
      <c r="AR199" s="61"/>
      <c r="AS199" s="60"/>
      <c r="AT199" s="31"/>
      <c r="AU199" s="61"/>
    </row>
    <row r="200" ht="36.75" customHeight="1">
      <c r="A200" s="62"/>
      <c r="B200" s="156"/>
      <c r="C200" s="105" t="str">
        <f>VLOOKUP(D200,[1]Saldo!A199:B31472,2,0)</f>
        <v>#ERROR!</v>
      </c>
      <c r="D200" s="156" t="s">
        <v>870</v>
      </c>
      <c r="E200" s="156" t="s">
        <v>612</v>
      </c>
      <c r="F200" s="189">
        <v>2.0</v>
      </c>
      <c r="G200" s="191">
        <v>6000.0</v>
      </c>
      <c r="H200" s="190">
        <f>'PAINEL DE CONTROLE'!$J$5</f>
        <v>6544</v>
      </c>
      <c r="I200" s="190">
        <v>0.0</v>
      </c>
      <c r="J200" s="190">
        <f t="shared" si="3"/>
        <v>6000</v>
      </c>
      <c r="K200" s="190">
        <f t="shared" si="4"/>
        <v>-544</v>
      </c>
      <c r="L200" s="60"/>
      <c r="M200" s="31"/>
      <c r="N200" s="61"/>
      <c r="O200" s="60"/>
      <c r="P200" s="31"/>
      <c r="Q200" s="61"/>
      <c r="R200" s="60"/>
      <c r="S200" s="31"/>
      <c r="T200" s="61"/>
      <c r="U200" s="60"/>
      <c r="V200" s="31"/>
      <c r="W200" s="61"/>
      <c r="X200" s="60"/>
      <c r="Y200" s="31"/>
      <c r="Z200" s="61"/>
      <c r="AA200" s="60"/>
      <c r="AB200" s="31"/>
      <c r="AC200" s="61"/>
      <c r="AD200" s="60"/>
      <c r="AE200" s="31"/>
      <c r="AF200" s="61"/>
      <c r="AG200" s="60"/>
      <c r="AH200" s="31"/>
      <c r="AI200" s="61"/>
      <c r="AJ200" s="60"/>
      <c r="AK200" s="31"/>
      <c r="AL200" s="61"/>
      <c r="AM200" s="60"/>
      <c r="AN200" s="31"/>
      <c r="AO200" s="61"/>
      <c r="AP200" s="60"/>
      <c r="AQ200" s="31"/>
      <c r="AR200" s="61"/>
      <c r="AS200" s="60"/>
      <c r="AT200" s="31"/>
      <c r="AU200" s="61"/>
    </row>
    <row r="201" ht="36.75" customHeight="1">
      <c r="A201" s="62"/>
      <c r="B201" s="156"/>
      <c r="C201" s="105" t="str">
        <f>VLOOKUP(D201,[1]Saldo!A200:B31473,2,0)</f>
        <v>#ERROR!</v>
      </c>
      <c r="D201" s="156" t="s">
        <v>871</v>
      </c>
      <c r="E201" s="156" t="s">
        <v>796</v>
      </c>
      <c r="F201" s="189">
        <v>1.0</v>
      </c>
      <c r="G201" s="191">
        <v>6000.0</v>
      </c>
      <c r="H201" s="190">
        <f>'PAINEL DE CONTROLE'!$J$5</f>
        <v>6544</v>
      </c>
      <c r="I201" s="190">
        <v>0.0</v>
      </c>
      <c r="J201" s="190">
        <f t="shared" si="3"/>
        <v>6000</v>
      </c>
      <c r="K201" s="190">
        <f t="shared" si="4"/>
        <v>-544</v>
      </c>
      <c r="L201" s="60"/>
      <c r="M201" s="31"/>
      <c r="N201" s="61"/>
      <c r="O201" s="60"/>
      <c r="P201" s="31"/>
      <c r="Q201" s="61"/>
      <c r="R201" s="60"/>
      <c r="S201" s="31"/>
      <c r="T201" s="61"/>
      <c r="U201" s="60"/>
      <c r="V201" s="31"/>
      <c r="W201" s="61"/>
      <c r="X201" s="60"/>
      <c r="Y201" s="31"/>
      <c r="Z201" s="61"/>
      <c r="AA201" s="60"/>
      <c r="AB201" s="31"/>
      <c r="AC201" s="61"/>
      <c r="AD201" s="60"/>
      <c r="AE201" s="31"/>
      <c r="AF201" s="61"/>
      <c r="AG201" s="60"/>
      <c r="AH201" s="31"/>
      <c r="AI201" s="61"/>
      <c r="AJ201" s="60"/>
      <c r="AK201" s="31"/>
      <c r="AL201" s="61"/>
      <c r="AM201" s="60"/>
      <c r="AN201" s="31"/>
      <c r="AO201" s="61"/>
      <c r="AP201" s="60"/>
      <c r="AQ201" s="31"/>
      <c r="AR201" s="61"/>
      <c r="AS201" s="60"/>
      <c r="AT201" s="31"/>
      <c r="AU201" s="61"/>
    </row>
    <row r="202" ht="36.75" customHeight="1">
      <c r="A202" s="63"/>
      <c r="B202" s="156"/>
      <c r="C202" s="105" t="str">
        <f>VLOOKUP(D202,[1]Saldo!A201:B31474,2,0)</f>
        <v>#ERROR!</v>
      </c>
      <c r="D202" s="191" t="s">
        <v>872</v>
      </c>
      <c r="E202" s="156" t="s">
        <v>714</v>
      </c>
      <c r="F202" s="189">
        <v>1.0</v>
      </c>
      <c r="G202" s="191">
        <v>6000.0</v>
      </c>
      <c r="H202" s="190">
        <f>'PAINEL DE CONTROLE'!$J$5</f>
        <v>6544</v>
      </c>
      <c r="I202" s="190">
        <v>0.0</v>
      </c>
      <c r="J202" s="190">
        <f t="shared" si="3"/>
        <v>6000</v>
      </c>
      <c r="K202" s="190">
        <f t="shared" si="4"/>
        <v>-544</v>
      </c>
      <c r="L202" s="60"/>
      <c r="M202" s="31"/>
      <c r="N202" s="61"/>
      <c r="O202" s="60"/>
      <c r="P202" s="31"/>
      <c r="Q202" s="61"/>
      <c r="R202" s="60"/>
      <c r="S202" s="31"/>
      <c r="T202" s="61"/>
      <c r="U202" s="60"/>
      <c r="V202" s="31"/>
      <c r="W202" s="61"/>
      <c r="X202" s="60"/>
      <c r="Y202" s="31"/>
      <c r="Z202" s="61"/>
      <c r="AA202" s="60"/>
      <c r="AB202" s="31"/>
      <c r="AC202" s="61"/>
      <c r="AD202" s="60"/>
      <c r="AE202" s="31"/>
      <c r="AF202" s="61"/>
      <c r="AG202" s="60"/>
      <c r="AH202" s="31"/>
      <c r="AI202" s="61"/>
      <c r="AJ202" s="60"/>
      <c r="AK202" s="31"/>
      <c r="AL202" s="61"/>
      <c r="AM202" s="60"/>
      <c r="AN202" s="31"/>
      <c r="AO202" s="61"/>
      <c r="AP202" s="60"/>
      <c r="AQ202" s="31"/>
      <c r="AR202" s="61"/>
      <c r="AS202" s="60"/>
      <c r="AT202" s="31"/>
      <c r="AU202" s="61"/>
    </row>
    <row r="203" ht="36.75" customHeight="1">
      <c r="A203" s="147" t="s">
        <v>873</v>
      </c>
      <c r="B203" s="156"/>
      <c r="C203" s="105" t="str">
        <f>VLOOKUP(D203,[1]Saldo!A202:B31475,2,0)</f>
        <v>#ERROR!</v>
      </c>
      <c r="D203" s="191" t="s">
        <v>874</v>
      </c>
      <c r="E203" s="156" t="s">
        <v>875</v>
      </c>
      <c r="F203" s="189">
        <v>1.0</v>
      </c>
      <c r="G203" s="191">
        <v>1000.0</v>
      </c>
      <c r="H203" s="190">
        <f>'PAINEL DE CONTROLE'!$J$5</f>
        <v>6544</v>
      </c>
      <c r="I203" s="190">
        <v>0.0</v>
      </c>
      <c r="J203" s="190">
        <f t="shared" si="3"/>
        <v>1000</v>
      </c>
      <c r="K203" s="190">
        <f t="shared" si="4"/>
        <v>-5544</v>
      </c>
      <c r="L203" s="60"/>
      <c r="M203" s="31"/>
      <c r="N203" s="61"/>
      <c r="O203" s="60"/>
      <c r="P203" s="31"/>
      <c r="Q203" s="61"/>
      <c r="R203" s="60"/>
      <c r="S203" s="31"/>
      <c r="T203" s="61"/>
      <c r="U203" s="60"/>
      <c r="V203" s="31"/>
      <c r="W203" s="61"/>
      <c r="X203" s="60"/>
      <c r="Y203" s="31"/>
      <c r="Z203" s="61"/>
      <c r="AA203" s="60"/>
      <c r="AB203" s="31"/>
      <c r="AC203" s="61"/>
      <c r="AD203" s="60"/>
      <c r="AE203" s="31"/>
      <c r="AF203" s="61"/>
      <c r="AG203" s="60"/>
      <c r="AH203" s="31"/>
      <c r="AI203" s="61"/>
      <c r="AJ203" s="60"/>
      <c r="AK203" s="31"/>
      <c r="AL203" s="61"/>
      <c r="AM203" s="60"/>
      <c r="AN203" s="31"/>
      <c r="AO203" s="61"/>
      <c r="AP203" s="60"/>
      <c r="AQ203" s="31"/>
      <c r="AR203" s="61"/>
      <c r="AS203" s="60"/>
      <c r="AT203" s="31"/>
      <c r="AU203" s="61"/>
    </row>
    <row r="204" ht="36.75" customHeight="1">
      <c r="A204" s="62"/>
      <c r="B204" s="156"/>
      <c r="C204" s="105" t="str">
        <f>VLOOKUP(D204,[1]Saldo!A203:B31476,2,0)</f>
        <v>#ERROR!</v>
      </c>
      <c r="D204" s="191" t="s">
        <v>876</v>
      </c>
      <c r="E204" s="156" t="s">
        <v>877</v>
      </c>
      <c r="F204" s="189">
        <v>1.0</v>
      </c>
      <c r="G204" s="191">
        <v>1000.0</v>
      </c>
      <c r="H204" s="190">
        <f>'PAINEL DE CONTROLE'!$J$5</f>
        <v>6544</v>
      </c>
      <c r="I204" s="190">
        <v>0.0</v>
      </c>
      <c r="J204" s="190">
        <f t="shared" si="3"/>
        <v>1000</v>
      </c>
      <c r="K204" s="190">
        <f t="shared" si="4"/>
        <v>-5544</v>
      </c>
      <c r="L204" s="60"/>
      <c r="M204" s="31"/>
      <c r="N204" s="61"/>
      <c r="O204" s="60"/>
      <c r="P204" s="31"/>
      <c r="Q204" s="61"/>
      <c r="R204" s="60"/>
      <c r="S204" s="31"/>
      <c r="T204" s="61"/>
      <c r="U204" s="60"/>
      <c r="V204" s="31"/>
      <c r="W204" s="61"/>
      <c r="X204" s="60"/>
      <c r="Y204" s="31"/>
      <c r="Z204" s="61"/>
      <c r="AA204" s="60"/>
      <c r="AB204" s="31"/>
      <c r="AC204" s="61"/>
      <c r="AD204" s="60"/>
      <c r="AE204" s="31"/>
      <c r="AF204" s="61"/>
      <c r="AG204" s="60"/>
      <c r="AH204" s="31"/>
      <c r="AI204" s="61"/>
      <c r="AJ204" s="60"/>
      <c r="AK204" s="31"/>
      <c r="AL204" s="61"/>
      <c r="AM204" s="60"/>
      <c r="AN204" s="31"/>
      <c r="AO204" s="61"/>
      <c r="AP204" s="60"/>
      <c r="AQ204" s="31"/>
      <c r="AR204" s="61"/>
      <c r="AS204" s="60"/>
      <c r="AT204" s="31"/>
      <c r="AU204" s="61"/>
    </row>
    <row r="205" ht="36.75" customHeight="1">
      <c r="A205" s="62"/>
      <c r="B205" s="156"/>
      <c r="C205" s="105" t="str">
        <f>VLOOKUP(D205,[1]Saldo!A204:B31477,2,0)</f>
        <v>#ERROR!</v>
      </c>
      <c r="D205" s="191" t="s">
        <v>878</v>
      </c>
      <c r="E205" s="156" t="s">
        <v>672</v>
      </c>
      <c r="F205" s="189">
        <v>10.0</v>
      </c>
      <c r="G205" s="191">
        <v>4000.0</v>
      </c>
      <c r="H205" s="190">
        <f>'PAINEL DE CONTROLE'!$J$5</f>
        <v>6544</v>
      </c>
      <c r="I205" s="190">
        <v>0.0</v>
      </c>
      <c r="J205" s="190">
        <f t="shared" si="3"/>
        <v>4000</v>
      </c>
      <c r="K205" s="190">
        <f t="shared" si="4"/>
        <v>-2544</v>
      </c>
      <c r="L205" s="60"/>
      <c r="M205" s="31"/>
      <c r="N205" s="61"/>
      <c r="O205" s="60"/>
      <c r="P205" s="31"/>
      <c r="Q205" s="61"/>
      <c r="R205" s="60"/>
      <c r="S205" s="31"/>
      <c r="T205" s="61"/>
      <c r="U205" s="60"/>
      <c r="V205" s="31"/>
      <c r="W205" s="61"/>
      <c r="X205" s="60"/>
      <c r="Y205" s="31"/>
      <c r="Z205" s="61"/>
      <c r="AA205" s="60"/>
      <c r="AB205" s="31"/>
      <c r="AC205" s="61"/>
      <c r="AD205" s="60"/>
      <c r="AE205" s="31"/>
      <c r="AF205" s="61"/>
      <c r="AG205" s="60"/>
      <c r="AH205" s="31"/>
      <c r="AI205" s="61"/>
      <c r="AJ205" s="60"/>
      <c r="AK205" s="31"/>
      <c r="AL205" s="61"/>
      <c r="AM205" s="60"/>
      <c r="AN205" s="31"/>
      <c r="AO205" s="61"/>
      <c r="AP205" s="60"/>
      <c r="AQ205" s="31"/>
      <c r="AR205" s="61"/>
      <c r="AS205" s="60"/>
      <c r="AT205" s="31"/>
      <c r="AU205" s="61"/>
    </row>
    <row r="206" ht="36.75" customHeight="1">
      <c r="A206" s="62"/>
      <c r="B206" s="156"/>
      <c r="C206" s="105" t="str">
        <f>VLOOKUP(D206,[1]Saldo!A205:B31478,2,0)</f>
        <v>#ERROR!</v>
      </c>
      <c r="D206" s="191" t="s">
        <v>879</v>
      </c>
      <c r="E206" s="156" t="s">
        <v>672</v>
      </c>
      <c r="F206" s="189">
        <v>6.0</v>
      </c>
      <c r="G206" s="191">
        <v>4000.0</v>
      </c>
      <c r="H206" s="190">
        <f>'PAINEL DE CONTROLE'!$J$5</f>
        <v>6544</v>
      </c>
      <c r="I206" s="190">
        <v>0.0</v>
      </c>
      <c r="J206" s="190">
        <f t="shared" si="3"/>
        <v>4000</v>
      </c>
      <c r="K206" s="190">
        <f t="shared" si="4"/>
        <v>-2544</v>
      </c>
      <c r="L206" s="60"/>
      <c r="M206" s="31"/>
      <c r="N206" s="61"/>
      <c r="O206" s="60"/>
      <c r="P206" s="31"/>
      <c r="Q206" s="61"/>
      <c r="R206" s="60"/>
      <c r="S206" s="31"/>
      <c r="T206" s="61"/>
      <c r="U206" s="60"/>
      <c r="V206" s="31"/>
      <c r="W206" s="61"/>
      <c r="X206" s="60"/>
      <c r="Y206" s="31"/>
      <c r="Z206" s="61"/>
      <c r="AA206" s="60"/>
      <c r="AB206" s="31"/>
      <c r="AC206" s="61"/>
      <c r="AD206" s="60"/>
      <c r="AE206" s="31"/>
      <c r="AF206" s="61"/>
      <c r="AG206" s="60"/>
      <c r="AH206" s="31"/>
      <c r="AI206" s="61"/>
      <c r="AJ206" s="60"/>
      <c r="AK206" s="31"/>
      <c r="AL206" s="61"/>
      <c r="AM206" s="60"/>
      <c r="AN206" s="31"/>
      <c r="AO206" s="61"/>
      <c r="AP206" s="60"/>
      <c r="AQ206" s="31"/>
      <c r="AR206" s="61"/>
      <c r="AS206" s="60"/>
      <c r="AT206" s="31"/>
      <c r="AU206" s="61"/>
    </row>
    <row r="207" ht="36.75" customHeight="1">
      <c r="A207" s="62"/>
      <c r="B207" s="156"/>
      <c r="C207" s="105" t="str">
        <f>VLOOKUP(D207,[1]Saldo!A206:B31479,2,0)</f>
        <v>#ERROR!</v>
      </c>
      <c r="D207" s="156" t="s">
        <v>880</v>
      </c>
      <c r="E207" s="156" t="s">
        <v>672</v>
      </c>
      <c r="F207" s="189">
        <v>6.0</v>
      </c>
      <c r="G207" s="191">
        <v>4000.0</v>
      </c>
      <c r="H207" s="190">
        <f>'PAINEL DE CONTROLE'!$J$5</f>
        <v>6544</v>
      </c>
      <c r="I207" s="190">
        <v>0.0</v>
      </c>
      <c r="J207" s="190">
        <f t="shared" si="3"/>
        <v>4000</v>
      </c>
      <c r="K207" s="190">
        <f t="shared" si="4"/>
        <v>-2544</v>
      </c>
      <c r="L207" s="60"/>
      <c r="M207" s="31"/>
      <c r="N207" s="61"/>
      <c r="O207" s="60"/>
      <c r="P207" s="31"/>
      <c r="Q207" s="61"/>
      <c r="R207" s="60"/>
      <c r="S207" s="31"/>
      <c r="T207" s="61"/>
      <c r="U207" s="60"/>
      <c r="V207" s="31"/>
      <c r="W207" s="61"/>
      <c r="X207" s="60"/>
      <c r="Y207" s="31"/>
      <c r="Z207" s="61"/>
      <c r="AA207" s="60"/>
      <c r="AB207" s="31"/>
      <c r="AC207" s="61"/>
      <c r="AD207" s="60"/>
      <c r="AE207" s="31"/>
      <c r="AF207" s="61"/>
      <c r="AG207" s="60"/>
      <c r="AH207" s="31"/>
      <c r="AI207" s="61"/>
      <c r="AJ207" s="60"/>
      <c r="AK207" s="31"/>
      <c r="AL207" s="61"/>
      <c r="AM207" s="60"/>
      <c r="AN207" s="31"/>
      <c r="AO207" s="61"/>
      <c r="AP207" s="60"/>
      <c r="AQ207" s="31"/>
      <c r="AR207" s="61"/>
      <c r="AS207" s="60"/>
      <c r="AT207" s="31"/>
      <c r="AU207" s="61"/>
    </row>
    <row r="208" ht="36.75" customHeight="1">
      <c r="A208" s="62"/>
      <c r="B208" s="156"/>
      <c r="C208" s="105" t="str">
        <f>VLOOKUP(D208,[1]Saldo!A207:B31480,2,0)</f>
        <v>#ERROR!</v>
      </c>
      <c r="D208" s="156" t="s">
        <v>881</v>
      </c>
      <c r="E208" s="156" t="s">
        <v>742</v>
      </c>
      <c r="F208" s="189">
        <v>12.0</v>
      </c>
      <c r="G208" s="191">
        <v>4000.0</v>
      </c>
      <c r="H208" s="190">
        <f>'PAINEL DE CONTROLE'!$J$5</f>
        <v>6544</v>
      </c>
      <c r="I208" s="190">
        <v>0.0</v>
      </c>
      <c r="J208" s="190">
        <f t="shared" si="3"/>
        <v>4000</v>
      </c>
      <c r="K208" s="190">
        <f t="shared" si="4"/>
        <v>-2544</v>
      </c>
      <c r="L208" s="60"/>
      <c r="M208" s="31"/>
      <c r="N208" s="61"/>
      <c r="O208" s="60"/>
      <c r="P208" s="31"/>
      <c r="Q208" s="61"/>
      <c r="R208" s="60"/>
      <c r="S208" s="31"/>
      <c r="T208" s="61"/>
      <c r="U208" s="60"/>
      <c r="V208" s="31"/>
      <c r="W208" s="61"/>
      <c r="X208" s="60"/>
      <c r="Y208" s="31"/>
      <c r="Z208" s="61"/>
      <c r="AA208" s="60"/>
      <c r="AB208" s="31"/>
      <c r="AC208" s="61"/>
      <c r="AD208" s="60"/>
      <c r="AE208" s="31"/>
      <c r="AF208" s="61"/>
      <c r="AG208" s="60"/>
      <c r="AH208" s="31"/>
      <c r="AI208" s="61"/>
      <c r="AJ208" s="60"/>
      <c r="AK208" s="31"/>
      <c r="AL208" s="61"/>
      <c r="AM208" s="60"/>
      <c r="AN208" s="31"/>
      <c r="AO208" s="61"/>
      <c r="AP208" s="60"/>
      <c r="AQ208" s="31"/>
      <c r="AR208" s="61"/>
      <c r="AS208" s="60"/>
      <c r="AT208" s="31"/>
      <c r="AU208" s="61"/>
    </row>
    <row r="209" ht="36.75" customHeight="1">
      <c r="A209" s="62"/>
      <c r="B209" s="156"/>
      <c r="C209" s="105" t="str">
        <f>VLOOKUP(D209,[1]Saldo!A208:B31481,2,0)</f>
        <v>#ERROR!</v>
      </c>
      <c r="D209" s="156" t="s">
        <v>882</v>
      </c>
      <c r="E209" s="156" t="s">
        <v>672</v>
      </c>
      <c r="F209" s="189">
        <v>24.0</v>
      </c>
      <c r="G209" s="191">
        <v>4000.0</v>
      </c>
      <c r="H209" s="190">
        <f>'PAINEL DE CONTROLE'!$J$5</f>
        <v>6544</v>
      </c>
      <c r="I209" s="190">
        <v>0.0</v>
      </c>
      <c r="J209" s="190">
        <f t="shared" si="3"/>
        <v>4000</v>
      </c>
      <c r="K209" s="190">
        <f t="shared" si="4"/>
        <v>-2544</v>
      </c>
      <c r="L209" s="60"/>
      <c r="M209" s="31"/>
      <c r="N209" s="61"/>
      <c r="O209" s="60"/>
      <c r="P209" s="31"/>
      <c r="Q209" s="61"/>
      <c r="R209" s="60"/>
      <c r="S209" s="31"/>
      <c r="T209" s="61"/>
      <c r="U209" s="60"/>
      <c r="V209" s="31"/>
      <c r="W209" s="61"/>
      <c r="X209" s="60"/>
      <c r="Y209" s="31"/>
      <c r="Z209" s="61"/>
      <c r="AA209" s="60"/>
      <c r="AB209" s="31"/>
      <c r="AC209" s="61"/>
      <c r="AD209" s="60"/>
      <c r="AE209" s="31"/>
      <c r="AF209" s="61"/>
      <c r="AG209" s="60"/>
      <c r="AH209" s="31"/>
      <c r="AI209" s="61"/>
      <c r="AJ209" s="60"/>
      <c r="AK209" s="31"/>
      <c r="AL209" s="61"/>
      <c r="AM209" s="60"/>
      <c r="AN209" s="31"/>
      <c r="AO209" s="61"/>
      <c r="AP209" s="60"/>
      <c r="AQ209" s="31"/>
      <c r="AR209" s="61"/>
      <c r="AS209" s="60"/>
      <c r="AT209" s="31"/>
      <c r="AU209" s="61"/>
    </row>
    <row r="210" ht="36.75" customHeight="1">
      <c r="A210" s="62"/>
      <c r="B210" s="156"/>
      <c r="C210" s="105" t="str">
        <f>VLOOKUP(D210,[1]Saldo!A209:B31482,2,0)</f>
        <v>#ERROR!</v>
      </c>
      <c r="D210" s="156" t="s">
        <v>883</v>
      </c>
      <c r="E210" s="156" t="s">
        <v>884</v>
      </c>
      <c r="F210" s="189">
        <v>3.0</v>
      </c>
      <c r="G210" s="191">
        <v>4000.0</v>
      </c>
      <c r="H210" s="190">
        <f>'PAINEL DE CONTROLE'!$J$5</f>
        <v>6544</v>
      </c>
      <c r="I210" s="190">
        <v>0.0</v>
      </c>
      <c r="J210" s="190">
        <f t="shared" si="3"/>
        <v>4000</v>
      </c>
      <c r="K210" s="190">
        <f t="shared" si="4"/>
        <v>-2544</v>
      </c>
      <c r="L210" s="60"/>
      <c r="M210" s="31"/>
      <c r="N210" s="61"/>
      <c r="O210" s="60"/>
      <c r="P210" s="31"/>
      <c r="Q210" s="61"/>
      <c r="R210" s="60"/>
      <c r="S210" s="31"/>
      <c r="T210" s="61"/>
      <c r="U210" s="60"/>
      <c r="V210" s="31"/>
      <c r="W210" s="61"/>
      <c r="X210" s="60"/>
      <c r="Y210" s="31"/>
      <c r="Z210" s="61"/>
      <c r="AA210" s="60"/>
      <c r="AB210" s="31"/>
      <c r="AC210" s="61"/>
      <c r="AD210" s="60"/>
      <c r="AE210" s="31"/>
      <c r="AF210" s="61"/>
      <c r="AG210" s="60"/>
      <c r="AH210" s="31"/>
      <c r="AI210" s="61"/>
      <c r="AJ210" s="60"/>
      <c r="AK210" s="31"/>
      <c r="AL210" s="61"/>
      <c r="AM210" s="60"/>
      <c r="AN210" s="31"/>
      <c r="AO210" s="61"/>
      <c r="AP210" s="60"/>
      <c r="AQ210" s="31"/>
      <c r="AR210" s="61"/>
      <c r="AS210" s="60"/>
      <c r="AT210" s="31"/>
      <c r="AU210" s="61"/>
    </row>
    <row r="211" ht="36.75" customHeight="1">
      <c r="A211" s="62"/>
      <c r="B211" s="156"/>
      <c r="C211" s="105" t="str">
        <f>VLOOKUP(D211,[1]Saldo!A210:B31483,2,0)</f>
        <v>#ERROR!</v>
      </c>
      <c r="D211" s="156" t="s">
        <v>885</v>
      </c>
      <c r="E211" s="156" t="s">
        <v>884</v>
      </c>
      <c r="F211" s="189">
        <v>3.0</v>
      </c>
      <c r="G211" s="191">
        <v>4000.0</v>
      </c>
      <c r="H211" s="190">
        <f>'PAINEL DE CONTROLE'!$J$5</f>
        <v>6544</v>
      </c>
      <c r="I211" s="190">
        <v>0.0</v>
      </c>
      <c r="J211" s="190">
        <f t="shared" si="3"/>
        <v>4000</v>
      </c>
      <c r="K211" s="190">
        <f t="shared" si="4"/>
        <v>-2544</v>
      </c>
      <c r="L211" s="60"/>
      <c r="M211" s="31"/>
      <c r="N211" s="61"/>
      <c r="O211" s="60"/>
      <c r="P211" s="31"/>
      <c r="Q211" s="61"/>
      <c r="R211" s="60"/>
      <c r="S211" s="31"/>
      <c r="T211" s="61"/>
      <c r="U211" s="60"/>
      <c r="V211" s="31"/>
      <c r="W211" s="61"/>
      <c r="X211" s="60"/>
      <c r="Y211" s="31"/>
      <c r="Z211" s="61"/>
      <c r="AA211" s="60"/>
      <c r="AB211" s="31"/>
      <c r="AC211" s="61"/>
      <c r="AD211" s="60"/>
      <c r="AE211" s="31"/>
      <c r="AF211" s="61"/>
      <c r="AG211" s="60"/>
      <c r="AH211" s="31"/>
      <c r="AI211" s="61"/>
      <c r="AJ211" s="60"/>
      <c r="AK211" s="31"/>
      <c r="AL211" s="61"/>
      <c r="AM211" s="60"/>
      <c r="AN211" s="31"/>
      <c r="AO211" s="61"/>
      <c r="AP211" s="60"/>
      <c r="AQ211" s="31"/>
      <c r="AR211" s="61"/>
      <c r="AS211" s="60"/>
      <c r="AT211" s="31"/>
      <c r="AU211" s="61"/>
    </row>
    <row r="212" ht="36.75" customHeight="1">
      <c r="A212" s="62"/>
      <c r="B212" s="156"/>
      <c r="C212" s="105" t="str">
        <f>VLOOKUP(D212,[1]Saldo!A211:B31484,2,0)</f>
        <v>#ERROR!</v>
      </c>
      <c r="D212" s="156" t="s">
        <v>886</v>
      </c>
      <c r="E212" s="156" t="s">
        <v>804</v>
      </c>
      <c r="F212" s="189">
        <v>20.0</v>
      </c>
      <c r="G212" s="191">
        <v>4000.0</v>
      </c>
      <c r="H212" s="190">
        <f>'PAINEL DE CONTROLE'!$J$5</f>
        <v>6544</v>
      </c>
      <c r="I212" s="190">
        <v>0.0</v>
      </c>
      <c r="J212" s="190">
        <f t="shared" si="3"/>
        <v>4000</v>
      </c>
      <c r="K212" s="190">
        <f t="shared" si="4"/>
        <v>-2544</v>
      </c>
      <c r="L212" s="60"/>
      <c r="M212" s="31"/>
      <c r="N212" s="61"/>
      <c r="O212" s="60"/>
      <c r="P212" s="31"/>
      <c r="Q212" s="61"/>
      <c r="R212" s="60"/>
      <c r="S212" s="31"/>
      <c r="T212" s="61"/>
      <c r="U212" s="60"/>
      <c r="V212" s="31"/>
      <c r="W212" s="61"/>
      <c r="X212" s="60"/>
      <c r="Y212" s="31"/>
      <c r="Z212" s="61"/>
      <c r="AA212" s="60"/>
      <c r="AB212" s="31"/>
      <c r="AC212" s="61"/>
      <c r="AD212" s="60"/>
      <c r="AE212" s="31"/>
      <c r="AF212" s="61"/>
      <c r="AG212" s="60"/>
      <c r="AH212" s="31"/>
      <c r="AI212" s="61"/>
      <c r="AJ212" s="60"/>
      <c r="AK212" s="31"/>
      <c r="AL212" s="61"/>
      <c r="AM212" s="60"/>
      <c r="AN212" s="31"/>
      <c r="AO212" s="61"/>
      <c r="AP212" s="60"/>
      <c r="AQ212" s="31"/>
      <c r="AR212" s="61"/>
      <c r="AS212" s="60"/>
      <c r="AT212" s="31"/>
      <c r="AU212" s="61"/>
    </row>
    <row r="213" ht="36.75" customHeight="1">
      <c r="A213" s="62"/>
      <c r="B213" s="156"/>
      <c r="C213" s="105" t="str">
        <f>VLOOKUP(D213,[1]Saldo!A212:B31485,2,0)</f>
        <v>#ERROR!</v>
      </c>
      <c r="D213" s="156" t="s">
        <v>887</v>
      </c>
      <c r="E213" s="156" t="s">
        <v>605</v>
      </c>
      <c r="F213" s="189">
        <v>3.0</v>
      </c>
      <c r="G213" s="191">
        <v>4000.0</v>
      </c>
      <c r="H213" s="190">
        <f>'PAINEL DE CONTROLE'!$J$5</f>
        <v>6544</v>
      </c>
      <c r="I213" s="190">
        <v>0.0</v>
      </c>
      <c r="J213" s="190">
        <f t="shared" si="3"/>
        <v>4000</v>
      </c>
      <c r="K213" s="190">
        <f t="shared" si="4"/>
        <v>-2544</v>
      </c>
      <c r="L213" s="60"/>
      <c r="M213" s="31"/>
      <c r="N213" s="61"/>
      <c r="O213" s="60"/>
      <c r="P213" s="31"/>
      <c r="Q213" s="61"/>
      <c r="R213" s="60"/>
      <c r="S213" s="31"/>
      <c r="T213" s="61"/>
      <c r="U213" s="60"/>
      <c r="V213" s="31"/>
      <c r="W213" s="61"/>
      <c r="X213" s="60"/>
      <c r="Y213" s="31"/>
      <c r="Z213" s="61"/>
      <c r="AA213" s="60"/>
      <c r="AB213" s="31"/>
      <c r="AC213" s="61"/>
      <c r="AD213" s="60"/>
      <c r="AE213" s="31"/>
      <c r="AF213" s="61"/>
      <c r="AG213" s="60"/>
      <c r="AH213" s="31"/>
      <c r="AI213" s="61"/>
      <c r="AJ213" s="60"/>
      <c r="AK213" s="31"/>
      <c r="AL213" s="61"/>
      <c r="AM213" s="60"/>
      <c r="AN213" s="31"/>
      <c r="AO213" s="61"/>
      <c r="AP213" s="60"/>
      <c r="AQ213" s="31"/>
      <c r="AR213" s="61"/>
      <c r="AS213" s="60"/>
      <c r="AT213" s="31"/>
      <c r="AU213" s="61"/>
    </row>
    <row r="214" ht="36.75" customHeight="1">
      <c r="A214" s="62"/>
      <c r="B214" s="156"/>
      <c r="C214" s="105" t="str">
        <f>VLOOKUP(D214,[1]Saldo!A213:B31486,2,0)</f>
        <v>#ERROR!</v>
      </c>
      <c r="D214" s="156" t="s">
        <v>888</v>
      </c>
      <c r="E214" s="156" t="s">
        <v>889</v>
      </c>
      <c r="F214" s="189">
        <v>6.0</v>
      </c>
      <c r="G214" s="191">
        <v>4000.0</v>
      </c>
      <c r="H214" s="190">
        <f>'PAINEL DE CONTROLE'!$J$5</f>
        <v>6544</v>
      </c>
      <c r="I214" s="190">
        <v>0.0</v>
      </c>
      <c r="J214" s="190">
        <f t="shared" si="3"/>
        <v>4000</v>
      </c>
      <c r="K214" s="190">
        <f t="shared" si="4"/>
        <v>-2544</v>
      </c>
      <c r="L214" s="60"/>
      <c r="M214" s="31"/>
      <c r="N214" s="61"/>
      <c r="O214" s="60"/>
      <c r="P214" s="31"/>
      <c r="Q214" s="61"/>
      <c r="R214" s="60"/>
      <c r="S214" s="31"/>
      <c r="T214" s="61"/>
      <c r="U214" s="60"/>
      <c r="V214" s="31"/>
      <c r="W214" s="61"/>
      <c r="X214" s="60"/>
      <c r="Y214" s="31"/>
      <c r="Z214" s="61"/>
      <c r="AA214" s="60"/>
      <c r="AB214" s="31"/>
      <c r="AC214" s="61"/>
      <c r="AD214" s="60"/>
      <c r="AE214" s="31"/>
      <c r="AF214" s="61"/>
      <c r="AG214" s="60"/>
      <c r="AH214" s="31"/>
      <c r="AI214" s="61"/>
      <c r="AJ214" s="60"/>
      <c r="AK214" s="31"/>
      <c r="AL214" s="61"/>
      <c r="AM214" s="60"/>
      <c r="AN214" s="31"/>
      <c r="AO214" s="61"/>
      <c r="AP214" s="60"/>
      <c r="AQ214" s="31"/>
      <c r="AR214" s="61"/>
      <c r="AS214" s="60"/>
      <c r="AT214" s="31"/>
      <c r="AU214" s="61"/>
    </row>
    <row r="215" ht="36.75" customHeight="1">
      <c r="A215" s="62"/>
      <c r="B215" s="156"/>
      <c r="C215" s="105" t="str">
        <f>VLOOKUP(D215,[1]Saldo!A214:B31487,2,0)</f>
        <v>#ERROR!</v>
      </c>
      <c r="D215" s="156" t="s">
        <v>890</v>
      </c>
      <c r="E215" s="156" t="s">
        <v>891</v>
      </c>
      <c r="F215" s="189">
        <v>3.0</v>
      </c>
      <c r="G215" s="191">
        <v>4000.0</v>
      </c>
      <c r="H215" s="190">
        <f>'PAINEL DE CONTROLE'!$J$5</f>
        <v>6544</v>
      </c>
      <c r="I215" s="190">
        <v>0.0</v>
      </c>
      <c r="J215" s="190">
        <f t="shared" si="3"/>
        <v>4000</v>
      </c>
      <c r="K215" s="190">
        <f t="shared" si="4"/>
        <v>-2544</v>
      </c>
      <c r="L215" s="60"/>
      <c r="M215" s="31"/>
      <c r="N215" s="61"/>
      <c r="O215" s="60"/>
      <c r="P215" s="31"/>
      <c r="Q215" s="61"/>
      <c r="R215" s="60"/>
      <c r="S215" s="31"/>
      <c r="T215" s="61"/>
      <c r="U215" s="60"/>
      <c r="V215" s="31"/>
      <c r="W215" s="61"/>
      <c r="X215" s="60"/>
      <c r="Y215" s="31"/>
      <c r="Z215" s="61"/>
      <c r="AA215" s="60"/>
      <c r="AB215" s="31"/>
      <c r="AC215" s="61"/>
      <c r="AD215" s="60"/>
      <c r="AE215" s="31"/>
      <c r="AF215" s="61"/>
      <c r="AG215" s="60"/>
      <c r="AH215" s="31"/>
      <c r="AI215" s="61"/>
      <c r="AJ215" s="60"/>
      <c r="AK215" s="31"/>
      <c r="AL215" s="61"/>
      <c r="AM215" s="60"/>
      <c r="AN215" s="31"/>
      <c r="AO215" s="61"/>
      <c r="AP215" s="60"/>
      <c r="AQ215" s="31"/>
      <c r="AR215" s="61"/>
      <c r="AS215" s="60"/>
      <c r="AT215" s="31"/>
      <c r="AU215" s="61"/>
    </row>
    <row r="216" ht="36.75" customHeight="1">
      <c r="A216" s="62"/>
      <c r="B216" s="156"/>
      <c r="C216" s="105" t="str">
        <f>VLOOKUP(D216,[1]Saldo!A215:B31488,2,0)</f>
        <v>#ERROR!</v>
      </c>
      <c r="D216" s="156" t="s">
        <v>892</v>
      </c>
      <c r="E216" s="156" t="s">
        <v>893</v>
      </c>
      <c r="F216" s="189">
        <v>3.0</v>
      </c>
      <c r="G216" s="191">
        <v>4000.0</v>
      </c>
      <c r="H216" s="190">
        <f>'PAINEL DE CONTROLE'!$J$5</f>
        <v>6544</v>
      </c>
      <c r="I216" s="190">
        <v>0.0</v>
      </c>
      <c r="J216" s="190">
        <f t="shared" si="3"/>
        <v>4000</v>
      </c>
      <c r="K216" s="190">
        <f t="shared" si="4"/>
        <v>-2544</v>
      </c>
      <c r="L216" s="60"/>
      <c r="M216" s="31"/>
      <c r="N216" s="61"/>
      <c r="O216" s="60"/>
      <c r="P216" s="31"/>
      <c r="Q216" s="61"/>
      <c r="R216" s="60"/>
      <c r="S216" s="31"/>
      <c r="T216" s="61"/>
      <c r="U216" s="60"/>
      <c r="V216" s="31"/>
      <c r="W216" s="61"/>
      <c r="X216" s="60"/>
      <c r="Y216" s="31"/>
      <c r="Z216" s="61"/>
      <c r="AA216" s="60"/>
      <c r="AB216" s="31"/>
      <c r="AC216" s="61"/>
      <c r="AD216" s="60"/>
      <c r="AE216" s="31"/>
      <c r="AF216" s="61"/>
      <c r="AG216" s="60"/>
      <c r="AH216" s="31"/>
      <c r="AI216" s="61"/>
      <c r="AJ216" s="60"/>
      <c r="AK216" s="31"/>
      <c r="AL216" s="61"/>
      <c r="AM216" s="60"/>
      <c r="AN216" s="31"/>
      <c r="AO216" s="61"/>
      <c r="AP216" s="60"/>
      <c r="AQ216" s="31"/>
      <c r="AR216" s="61"/>
      <c r="AS216" s="60"/>
      <c r="AT216" s="31"/>
      <c r="AU216" s="61"/>
    </row>
    <row r="217" ht="36.75" customHeight="1">
      <c r="A217" s="62"/>
      <c r="B217" s="156"/>
      <c r="C217" s="105" t="str">
        <f>VLOOKUP(D217,[1]Saldo!A216:B31489,2,0)</f>
        <v>#ERROR!</v>
      </c>
      <c r="D217" s="156" t="s">
        <v>894</v>
      </c>
      <c r="E217" s="156" t="s">
        <v>889</v>
      </c>
      <c r="F217" s="189">
        <v>3.0</v>
      </c>
      <c r="G217" s="191">
        <v>4000.0</v>
      </c>
      <c r="H217" s="190">
        <f>'PAINEL DE CONTROLE'!$J$5</f>
        <v>6544</v>
      </c>
      <c r="I217" s="190">
        <v>0.0</v>
      </c>
      <c r="J217" s="190">
        <f t="shared" si="3"/>
        <v>4000</v>
      </c>
      <c r="K217" s="190">
        <f t="shared" si="4"/>
        <v>-2544</v>
      </c>
      <c r="L217" s="60"/>
      <c r="M217" s="31"/>
      <c r="N217" s="61"/>
      <c r="O217" s="60"/>
      <c r="P217" s="31"/>
      <c r="Q217" s="61"/>
      <c r="R217" s="60"/>
      <c r="S217" s="31"/>
      <c r="T217" s="61"/>
      <c r="U217" s="60"/>
      <c r="V217" s="31"/>
      <c r="W217" s="61"/>
      <c r="X217" s="60"/>
      <c r="Y217" s="31"/>
      <c r="Z217" s="61"/>
      <c r="AA217" s="60"/>
      <c r="AB217" s="31"/>
      <c r="AC217" s="61"/>
      <c r="AD217" s="60"/>
      <c r="AE217" s="31"/>
      <c r="AF217" s="61"/>
      <c r="AG217" s="60"/>
      <c r="AH217" s="31"/>
      <c r="AI217" s="61"/>
      <c r="AJ217" s="60"/>
      <c r="AK217" s="31"/>
      <c r="AL217" s="61"/>
      <c r="AM217" s="60"/>
      <c r="AN217" s="31"/>
      <c r="AO217" s="61"/>
      <c r="AP217" s="60"/>
      <c r="AQ217" s="31"/>
      <c r="AR217" s="61"/>
      <c r="AS217" s="60"/>
      <c r="AT217" s="31"/>
      <c r="AU217" s="61"/>
    </row>
    <row r="218" ht="36.75" customHeight="1">
      <c r="A218" s="62"/>
      <c r="B218" s="156"/>
      <c r="C218" s="105" t="str">
        <f>VLOOKUP(D218,[1]Saldo!A217:B31490,2,0)</f>
        <v>#ERROR!</v>
      </c>
      <c r="D218" s="156" t="s">
        <v>895</v>
      </c>
      <c r="E218" s="156" t="s">
        <v>896</v>
      </c>
      <c r="F218" s="189">
        <v>3.0</v>
      </c>
      <c r="G218" s="191">
        <v>4000.0</v>
      </c>
      <c r="H218" s="190">
        <f>'PAINEL DE CONTROLE'!$J$5</f>
        <v>6544</v>
      </c>
      <c r="I218" s="190">
        <v>0.0</v>
      </c>
      <c r="J218" s="190">
        <f t="shared" si="3"/>
        <v>4000</v>
      </c>
      <c r="K218" s="190">
        <f t="shared" si="4"/>
        <v>-2544</v>
      </c>
      <c r="L218" s="60"/>
      <c r="M218" s="31"/>
      <c r="N218" s="61"/>
      <c r="O218" s="60"/>
      <c r="P218" s="31"/>
      <c r="Q218" s="61"/>
      <c r="R218" s="60"/>
      <c r="S218" s="31"/>
      <c r="T218" s="61"/>
      <c r="U218" s="60"/>
      <c r="V218" s="31"/>
      <c r="W218" s="61"/>
      <c r="X218" s="60"/>
      <c r="Y218" s="31"/>
      <c r="Z218" s="61"/>
      <c r="AA218" s="60"/>
      <c r="AB218" s="31"/>
      <c r="AC218" s="61"/>
      <c r="AD218" s="60"/>
      <c r="AE218" s="31"/>
      <c r="AF218" s="61"/>
      <c r="AG218" s="60"/>
      <c r="AH218" s="31"/>
      <c r="AI218" s="61"/>
      <c r="AJ218" s="60"/>
      <c r="AK218" s="31"/>
      <c r="AL218" s="61"/>
      <c r="AM218" s="60"/>
      <c r="AN218" s="31"/>
      <c r="AO218" s="61"/>
      <c r="AP218" s="60"/>
      <c r="AQ218" s="31"/>
      <c r="AR218" s="61"/>
      <c r="AS218" s="60"/>
      <c r="AT218" s="31"/>
      <c r="AU218" s="61"/>
    </row>
    <row r="219" ht="36.75" customHeight="1">
      <c r="A219" s="62"/>
      <c r="B219" s="156"/>
      <c r="C219" s="105" t="str">
        <f>VLOOKUP(D219,[1]Saldo!A218:B31491,2,0)</f>
        <v>#ERROR!</v>
      </c>
      <c r="D219" s="156" t="s">
        <v>897</v>
      </c>
      <c r="E219" s="156" t="s">
        <v>664</v>
      </c>
      <c r="F219" s="189">
        <v>3.0</v>
      </c>
      <c r="G219" s="191">
        <v>4000.0</v>
      </c>
      <c r="H219" s="190">
        <f>'PAINEL DE CONTROLE'!$J$5</f>
        <v>6544</v>
      </c>
      <c r="I219" s="190">
        <v>0.0</v>
      </c>
      <c r="J219" s="190">
        <f t="shared" si="3"/>
        <v>4000</v>
      </c>
      <c r="K219" s="190">
        <f t="shared" si="4"/>
        <v>-2544</v>
      </c>
      <c r="L219" s="60"/>
      <c r="M219" s="31"/>
      <c r="N219" s="61"/>
      <c r="O219" s="60"/>
      <c r="P219" s="31"/>
      <c r="Q219" s="61"/>
      <c r="R219" s="60"/>
      <c r="S219" s="31"/>
      <c r="T219" s="61"/>
      <c r="U219" s="60"/>
      <c r="V219" s="31"/>
      <c r="W219" s="61"/>
      <c r="X219" s="60"/>
      <c r="Y219" s="31"/>
      <c r="Z219" s="61"/>
      <c r="AA219" s="60"/>
      <c r="AB219" s="31"/>
      <c r="AC219" s="61"/>
      <c r="AD219" s="60"/>
      <c r="AE219" s="31"/>
      <c r="AF219" s="61"/>
      <c r="AG219" s="60"/>
      <c r="AH219" s="31"/>
      <c r="AI219" s="61"/>
      <c r="AJ219" s="60"/>
      <c r="AK219" s="31"/>
      <c r="AL219" s="61"/>
      <c r="AM219" s="60"/>
      <c r="AN219" s="31"/>
      <c r="AO219" s="61"/>
      <c r="AP219" s="60"/>
      <c r="AQ219" s="31"/>
      <c r="AR219" s="61"/>
      <c r="AS219" s="60"/>
      <c r="AT219" s="31"/>
      <c r="AU219" s="61"/>
    </row>
    <row r="220" ht="36.75" customHeight="1">
      <c r="A220" s="62"/>
      <c r="B220" s="156"/>
      <c r="C220" s="105" t="str">
        <f>VLOOKUP(D220,[1]Saldo!A219:B31492,2,0)</f>
        <v>#ERROR!</v>
      </c>
      <c r="D220" s="156" t="s">
        <v>761</v>
      </c>
      <c r="E220" s="156" t="s">
        <v>898</v>
      </c>
      <c r="F220" s="189">
        <v>3.0</v>
      </c>
      <c r="G220" s="191">
        <v>4000.0</v>
      </c>
      <c r="H220" s="190">
        <f>'PAINEL DE CONTROLE'!$J$5</f>
        <v>6544</v>
      </c>
      <c r="I220" s="190">
        <v>0.0</v>
      </c>
      <c r="J220" s="190">
        <f t="shared" si="3"/>
        <v>4000</v>
      </c>
      <c r="K220" s="190">
        <f t="shared" si="4"/>
        <v>-2544</v>
      </c>
      <c r="L220" s="60"/>
      <c r="M220" s="31"/>
      <c r="N220" s="61"/>
      <c r="O220" s="60"/>
      <c r="P220" s="31"/>
      <c r="Q220" s="61"/>
      <c r="R220" s="60"/>
      <c r="S220" s="31"/>
      <c r="T220" s="61"/>
      <c r="U220" s="60"/>
      <c r="V220" s="31"/>
      <c r="W220" s="61"/>
      <c r="X220" s="60"/>
      <c r="Y220" s="31"/>
      <c r="Z220" s="61"/>
      <c r="AA220" s="60"/>
      <c r="AB220" s="31"/>
      <c r="AC220" s="61"/>
      <c r="AD220" s="60"/>
      <c r="AE220" s="31"/>
      <c r="AF220" s="61"/>
      <c r="AG220" s="60"/>
      <c r="AH220" s="31"/>
      <c r="AI220" s="61"/>
      <c r="AJ220" s="60"/>
      <c r="AK220" s="31"/>
      <c r="AL220" s="61"/>
      <c r="AM220" s="60"/>
      <c r="AN220" s="31"/>
      <c r="AO220" s="61"/>
      <c r="AP220" s="60"/>
      <c r="AQ220" s="31"/>
      <c r="AR220" s="61"/>
      <c r="AS220" s="60"/>
      <c r="AT220" s="31"/>
      <c r="AU220" s="61"/>
    </row>
    <row r="221" ht="36.75" customHeight="1">
      <c r="A221" s="62"/>
      <c r="B221" s="156"/>
      <c r="C221" s="105" t="str">
        <f>VLOOKUP(D221,[1]Saldo!A220:B31493,2,0)</f>
        <v>#ERROR!</v>
      </c>
      <c r="D221" s="156" t="s">
        <v>899</v>
      </c>
      <c r="E221" s="156" t="s">
        <v>742</v>
      </c>
      <c r="F221" s="189">
        <v>4.0</v>
      </c>
      <c r="G221" s="191">
        <v>4000.0</v>
      </c>
      <c r="H221" s="190">
        <f>'PAINEL DE CONTROLE'!$J$5</f>
        <v>6544</v>
      </c>
      <c r="I221" s="190">
        <v>0.0</v>
      </c>
      <c r="J221" s="190">
        <f t="shared" si="3"/>
        <v>4000</v>
      </c>
      <c r="K221" s="190">
        <f t="shared" si="4"/>
        <v>-2544</v>
      </c>
      <c r="L221" s="60"/>
      <c r="M221" s="31"/>
      <c r="N221" s="61"/>
      <c r="O221" s="60"/>
      <c r="P221" s="31"/>
      <c r="Q221" s="61"/>
      <c r="R221" s="60"/>
      <c r="S221" s="31"/>
      <c r="T221" s="61"/>
      <c r="U221" s="60"/>
      <c r="V221" s="31"/>
      <c r="W221" s="61"/>
      <c r="X221" s="60"/>
      <c r="Y221" s="31"/>
      <c r="Z221" s="61"/>
      <c r="AA221" s="60"/>
      <c r="AB221" s="31"/>
      <c r="AC221" s="61"/>
      <c r="AD221" s="60"/>
      <c r="AE221" s="31"/>
      <c r="AF221" s="61"/>
      <c r="AG221" s="60"/>
      <c r="AH221" s="31"/>
      <c r="AI221" s="61"/>
      <c r="AJ221" s="60"/>
      <c r="AK221" s="31"/>
      <c r="AL221" s="61"/>
      <c r="AM221" s="60"/>
      <c r="AN221" s="31"/>
      <c r="AO221" s="61"/>
      <c r="AP221" s="60"/>
      <c r="AQ221" s="31"/>
      <c r="AR221" s="61"/>
      <c r="AS221" s="60"/>
      <c r="AT221" s="31"/>
      <c r="AU221" s="61"/>
    </row>
    <row r="222" ht="36.75" customHeight="1">
      <c r="A222" s="62"/>
      <c r="B222" s="156"/>
      <c r="C222" s="105" t="str">
        <f>VLOOKUP(D222,[1]Saldo!A221:B31494,2,0)</f>
        <v>#ERROR!</v>
      </c>
      <c r="D222" s="156" t="s">
        <v>900</v>
      </c>
      <c r="E222" s="156" t="s">
        <v>672</v>
      </c>
      <c r="F222" s="189">
        <v>2.0</v>
      </c>
      <c r="G222" s="191">
        <v>4000.0</v>
      </c>
      <c r="H222" s="190">
        <f>'PAINEL DE CONTROLE'!$J$5</f>
        <v>6544</v>
      </c>
      <c r="I222" s="190">
        <v>0.0</v>
      </c>
      <c r="J222" s="190">
        <f t="shared" si="3"/>
        <v>4000</v>
      </c>
      <c r="K222" s="190">
        <f t="shared" si="4"/>
        <v>-2544</v>
      </c>
      <c r="L222" s="60"/>
      <c r="M222" s="31"/>
      <c r="N222" s="61"/>
      <c r="O222" s="60"/>
      <c r="P222" s="31"/>
      <c r="Q222" s="61"/>
      <c r="R222" s="60"/>
      <c r="S222" s="31"/>
      <c r="T222" s="61"/>
      <c r="U222" s="60"/>
      <c r="V222" s="31"/>
      <c r="W222" s="61"/>
      <c r="X222" s="60"/>
      <c r="Y222" s="31"/>
      <c r="Z222" s="61"/>
      <c r="AA222" s="60"/>
      <c r="AB222" s="31"/>
      <c r="AC222" s="61"/>
      <c r="AD222" s="60"/>
      <c r="AE222" s="31"/>
      <c r="AF222" s="61"/>
      <c r="AG222" s="60"/>
      <c r="AH222" s="31"/>
      <c r="AI222" s="61"/>
      <c r="AJ222" s="60"/>
      <c r="AK222" s="31"/>
      <c r="AL222" s="61"/>
      <c r="AM222" s="60"/>
      <c r="AN222" s="31"/>
      <c r="AO222" s="61"/>
      <c r="AP222" s="60"/>
      <c r="AQ222" s="31"/>
      <c r="AR222" s="61"/>
      <c r="AS222" s="60"/>
      <c r="AT222" s="31"/>
      <c r="AU222" s="61"/>
    </row>
    <row r="223" ht="36.75" customHeight="1">
      <c r="A223" s="62"/>
      <c r="B223" s="156"/>
      <c r="C223" s="105" t="str">
        <f>VLOOKUP(D223,[1]Saldo!A222:B31495,2,0)</f>
        <v>#ERROR!</v>
      </c>
      <c r="D223" s="156" t="s">
        <v>654</v>
      </c>
      <c r="E223" s="156" t="s">
        <v>672</v>
      </c>
      <c r="F223" s="189">
        <v>4.0</v>
      </c>
      <c r="G223" s="191">
        <v>4000.0</v>
      </c>
      <c r="H223" s="190">
        <f>'PAINEL DE CONTROLE'!$J$5</f>
        <v>6544</v>
      </c>
      <c r="I223" s="190">
        <v>0.0</v>
      </c>
      <c r="J223" s="190">
        <f t="shared" si="3"/>
        <v>4000</v>
      </c>
      <c r="K223" s="190">
        <f t="shared" si="4"/>
        <v>-2544</v>
      </c>
      <c r="L223" s="60"/>
      <c r="M223" s="31"/>
      <c r="N223" s="61"/>
      <c r="O223" s="60"/>
      <c r="P223" s="31"/>
      <c r="Q223" s="61"/>
      <c r="R223" s="60"/>
      <c r="S223" s="31"/>
      <c r="T223" s="61"/>
      <c r="U223" s="60"/>
      <c r="V223" s="31"/>
      <c r="W223" s="61"/>
      <c r="X223" s="60"/>
      <c r="Y223" s="31"/>
      <c r="Z223" s="61"/>
      <c r="AA223" s="60"/>
      <c r="AB223" s="31"/>
      <c r="AC223" s="61"/>
      <c r="AD223" s="60"/>
      <c r="AE223" s="31"/>
      <c r="AF223" s="61"/>
      <c r="AG223" s="60"/>
      <c r="AH223" s="31"/>
      <c r="AI223" s="61"/>
      <c r="AJ223" s="60"/>
      <c r="AK223" s="31"/>
      <c r="AL223" s="61"/>
      <c r="AM223" s="60"/>
      <c r="AN223" s="31"/>
      <c r="AO223" s="61"/>
      <c r="AP223" s="60"/>
      <c r="AQ223" s="31"/>
      <c r="AR223" s="61"/>
      <c r="AS223" s="60"/>
      <c r="AT223" s="31"/>
      <c r="AU223" s="61"/>
    </row>
    <row r="224" ht="36.75" customHeight="1">
      <c r="A224" s="62"/>
      <c r="B224" s="156"/>
      <c r="C224" s="105" t="str">
        <f>VLOOKUP(D224,[1]Saldo!A223:B31496,2,0)</f>
        <v>#ERROR!</v>
      </c>
      <c r="D224" s="156" t="s">
        <v>901</v>
      </c>
      <c r="E224" s="156" t="s">
        <v>804</v>
      </c>
      <c r="F224" s="189">
        <v>6.0</v>
      </c>
      <c r="G224" s="191">
        <v>4000.0</v>
      </c>
      <c r="H224" s="190">
        <f>'PAINEL DE CONTROLE'!$J$5</f>
        <v>6544</v>
      </c>
      <c r="I224" s="190">
        <v>0.0</v>
      </c>
      <c r="J224" s="190">
        <f t="shared" si="3"/>
        <v>4000</v>
      </c>
      <c r="K224" s="190">
        <f t="shared" si="4"/>
        <v>-2544</v>
      </c>
      <c r="L224" s="60"/>
      <c r="M224" s="31"/>
      <c r="N224" s="61"/>
      <c r="O224" s="60"/>
      <c r="P224" s="31"/>
      <c r="Q224" s="61"/>
      <c r="R224" s="60"/>
      <c r="S224" s="31"/>
      <c r="T224" s="61"/>
      <c r="U224" s="60"/>
      <c r="V224" s="31"/>
      <c r="W224" s="61"/>
      <c r="X224" s="60"/>
      <c r="Y224" s="31"/>
      <c r="Z224" s="61"/>
      <c r="AA224" s="60"/>
      <c r="AB224" s="31"/>
      <c r="AC224" s="61"/>
      <c r="AD224" s="60"/>
      <c r="AE224" s="31"/>
      <c r="AF224" s="61"/>
      <c r="AG224" s="60"/>
      <c r="AH224" s="31"/>
      <c r="AI224" s="61"/>
      <c r="AJ224" s="60"/>
      <c r="AK224" s="31"/>
      <c r="AL224" s="61"/>
      <c r="AM224" s="60"/>
      <c r="AN224" s="31"/>
      <c r="AO224" s="61"/>
      <c r="AP224" s="60"/>
      <c r="AQ224" s="31"/>
      <c r="AR224" s="61"/>
      <c r="AS224" s="60"/>
      <c r="AT224" s="31"/>
      <c r="AU224" s="61"/>
    </row>
    <row r="225" ht="36.75" customHeight="1">
      <c r="A225" s="62"/>
      <c r="B225" s="156"/>
      <c r="C225" s="105" t="str">
        <f>VLOOKUP(D225,[1]Saldo!A224:B31497,2,0)</f>
        <v>#ERROR!</v>
      </c>
      <c r="D225" s="156" t="s">
        <v>902</v>
      </c>
      <c r="E225" s="156" t="s">
        <v>791</v>
      </c>
      <c r="F225" s="189">
        <v>24.0</v>
      </c>
      <c r="G225" s="191">
        <v>4000.0</v>
      </c>
      <c r="H225" s="190">
        <f>'PAINEL DE CONTROLE'!$J$5</f>
        <v>6544</v>
      </c>
      <c r="I225" s="190">
        <v>0.0</v>
      </c>
      <c r="J225" s="190">
        <f t="shared" si="3"/>
        <v>4000</v>
      </c>
      <c r="K225" s="190">
        <f t="shared" si="4"/>
        <v>-2544</v>
      </c>
      <c r="L225" s="60"/>
      <c r="M225" s="31"/>
      <c r="N225" s="61"/>
      <c r="O225" s="60"/>
      <c r="P225" s="31"/>
      <c r="Q225" s="61"/>
      <c r="R225" s="60"/>
      <c r="S225" s="31"/>
      <c r="T225" s="61"/>
      <c r="U225" s="60"/>
      <c r="V225" s="31"/>
      <c r="W225" s="61"/>
      <c r="X225" s="60"/>
      <c r="Y225" s="31"/>
      <c r="Z225" s="61"/>
      <c r="AA225" s="60"/>
      <c r="AB225" s="31"/>
      <c r="AC225" s="61"/>
      <c r="AD225" s="60"/>
      <c r="AE225" s="31"/>
      <c r="AF225" s="61"/>
      <c r="AG225" s="60"/>
      <c r="AH225" s="31"/>
      <c r="AI225" s="61"/>
      <c r="AJ225" s="60"/>
      <c r="AK225" s="31"/>
      <c r="AL225" s="61"/>
      <c r="AM225" s="60"/>
      <c r="AN225" s="31"/>
      <c r="AO225" s="61"/>
      <c r="AP225" s="60"/>
      <c r="AQ225" s="31"/>
      <c r="AR225" s="61"/>
      <c r="AS225" s="60"/>
      <c r="AT225" s="31"/>
      <c r="AU225" s="61"/>
    </row>
    <row r="226" ht="36.75" customHeight="1">
      <c r="A226" s="62"/>
      <c r="B226" s="156"/>
      <c r="C226" s="105" t="str">
        <f>VLOOKUP(D226,[1]Saldo!A225:B31498,2,0)</f>
        <v>#ERROR!</v>
      </c>
      <c r="D226" s="156" t="s">
        <v>903</v>
      </c>
      <c r="E226" s="156" t="s">
        <v>891</v>
      </c>
      <c r="F226" s="189">
        <v>3.0</v>
      </c>
      <c r="G226" s="191">
        <v>4000.0</v>
      </c>
      <c r="H226" s="190">
        <f>'PAINEL DE CONTROLE'!$J$5</f>
        <v>6544</v>
      </c>
      <c r="I226" s="190">
        <v>0.0</v>
      </c>
      <c r="J226" s="190">
        <f t="shared" si="3"/>
        <v>4000</v>
      </c>
      <c r="K226" s="190">
        <f t="shared" si="4"/>
        <v>-2544</v>
      </c>
      <c r="L226" s="60"/>
      <c r="M226" s="31"/>
      <c r="N226" s="61"/>
      <c r="O226" s="60"/>
      <c r="P226" s="31"/>
      <c r="Q226" s="61"/>
      <c r="R226" s="60"/>
      <c r="S226" s="31"/>
      <c r="T226" s="61"/>
      <c r="U226" s="60"/>
      <c r="V226" s="31"/>
      <c r="W226" s="61"/>
      <c r="X226" s="60"/>
      <c r="Y226" s="31"/>
      <c r="Z226" s="61"/>
      <c r="AA226" s="60"/>
      <c r="AB226" s="31"/>
      <c r="AC226" s="61"/>
      <c r="AD226" s="60"/>
      <c r="AE226" s="31"/>
      <c r="AF226" s="61"/>
      <c r="AG226" s="60"/>
      <c r="AH226" s="31"/>
      <c r="AI226" s="61"/>
      <c r="AJ226" s="60"/>
      <c r="AK226" s="31"/>
      <c r="AL226" s="61"/>
      <c r="AM226" s="60"/>
      <c r="AN226" s="31"/>
      <c r="AO226" s="61"/>
      <c r="AP226" s="60"/>
      <c r="AQ226" s="31"/>
      <c r="AR226" s="61"/>
      <c r="AS226" s="60"/>
      <c r="AT226" s="31"/>
      <c r="AU226" s="61"/>
    </row>
    <row r="227" ht="36.75" customHeight="1">
      <c r="A227" s="62"/>
      <c r="B227" s="156"/>
      <c r="C227" s="105" t="str">
        <f>VLOOKUP(D227,[1]Saldo!A226:B31499,2,0)</f>
        <v>#ERROR!</v>
      </c>
      <c r="D227" s="156" t="s">
        <v>904</v>
      </c>
      <c r="E227" s="156" t="s">
        <v>905</v>
      </c>
      <c r="F227" s="189">
        <v>14.0</v>
      </c>
      <c r="G227" s="191">
        <v>4000.0</v>
      </c>
      <c r="H227" s="190">
        <f>'PAINEL DE CONTROLE'!$J$5</f>
        <v>6544</v>
      </c>
      <c r="I227" s="190">
        <v>0.0</v>
      </c>
      <c r="J227" s="190">
        <f t="shared" si="3"/>
        <v>4000</v>
      </c>
      <c r="K227" s="190">
        <f t="shared" si="4"/>
        <v>-2544</v>
      </c>
      <c r="L227" s="60"/>
      <c r="M227" s="31"/>
      <c r="N227" s="61"/>
      <c r="O227" s="60"/>
      <c r="P227" s="31"/>
      <c r="Q227" s="61"/>
      <c r="R227" s="60"/>
      <c r="S227" s="31"/>
      <c r="T227" s="61"/>
      <c r="U227" s="60"/>
      <c r="V227" s="31"/>
      <c r="W227" s="61"/>
      <c r="X227" s="60"/>
      <c r="Y227" s="31"/>
      <c r="Z227" s="61"/>
      <c r="AA227" s="60"/>
      <c r="AB227" s="31"/>
      <c r="AC227" s="61"/>
      <c r="AD227" s="60"/>
      <c r="AE227" s="31"/>
      <c r="AF227" s="61"/>
      <c r="AG227" s="60"/>
      <c r="AH227" s="31"/>
      <c r="AI227" s="61"/>
      <c r="AJ227" s="60"/>
      <c r="AK227" s="31"/>
      <c r="AL227" s="61"/>
      <c r="AM227" s="60"/>
      <c r="AN227" s="31"/>
      <c r="AO227" s="61"/>
      <c r="AP227" s="60"/>
      <c r="AQ227" s="31"/>
      <c r="AR227" s="61"/>
      <c r="AS227" s="60"/>
      <c r="AT227" s="31"/>
      <c r="AU227" s="61"/>
    </row>
    <row r="228" ht="36.75" customHeight="1">
      <c r="A228" s="62"/>
      <c r="B228" s="156"/>
      <c r="C228" s="105" t="str">
        <f>VLOOKUP(D228,[1]Saldo!A227:B31500,2,0)</f>
        <v>#ERROR!</v>
      </c>
      <c r="D228" s="156" t="s">
        <v>906</v>
      </c>
      <c r="E228" s="156" t="s">
        <v>889</v>
      </c>
      <c r="F228" s="189">
        <v>3.0</v>
      </c>
      <c r="G228" s="191">
        <v>4000.0</v>
      </c>
      <c r="H228" s="190">
        <f>'PAINEL DE CONTROLE'!$J$5</f>
        <v>6544</v>
      </c>
      <c r="I228" s="190">
        <v>0.0</v>
      </c>
      <c r="J228" s="190">
        <f t="shared" si="3"/>
        <v>4000</v>
      </c>
      <c r="K228" s="190">
        <f t="shared" si="4"/>
        <v>-2544</v>
      </c>
      <c r="L228" s="60"/>
      <c r="M228" s="31"/>
      <c r="N228" s="61"/>
      <c r="O228" s="60"/>
      <c r="P228" s="31"/>
      <c r="Q228" s="61"/>
      <c r="R228" s="60"/>
      <c r="S228" s="31"/>
      <c r="T228" s="61"/>
      <c r="U228" s="60"/>
      <c r="V228" s="31"/>
      <c r="W228" s="61"/>
      <c r="X228" s="60"/>
      <c r="Y228" s="31"/>
      <c r="Z228" s="61"/>
      <c r="AA228" s="60"/>
      <c r="AB228" s="31"/>
      <c r="AC228" s="61"/>
      <c r="AD228" s="60"/>
      <c r="AE228" s="31"/>
      <c r="AF228" s="61"/>
      <c r="AG228" s="60"/>
      <c r="AH228" s="31"/>
      <c r="AI228" s="61"/>
      <c r="AJ228" s="60"/>
      <c r="AK228" s="31"/>
      <c r="AL228" s="61"/>
      <c r="AM228" s="60"/>
      <c r="AN228" s="31"/>
      <c r="AO228" s="61"/>
      <c r="AP228" s="60"/>
      <c r="AQ228" s="31"/>
      <c r="AR228" s="61"/>
      <c r="AS228" s="60"/>
      <c r="AT228" s="31"/>
      <c r="AU228" s="61"/>
    </row>
    <row r="229" ht="36.75" customHeight="1">
      <c r="A229" s="62"/>
      <c r="B229" s="156"/>
      <c r="C229" s="105" t="str">
        <f>VLOOKUP(D229,[1]Saldo!A228:B31501,2,0)</f>
        <v>#ERROR!</v>
      </c>
      <c r="D229" s="156" t="s">
        <v>907</v>
      </c>
      <c r="E229" s="156" t="s">
        <v>889</v>
      </c>
      <c r="F229" s="189">
        <v>3.0</v>
      </c>
      <c r="G229" s="191">
        <v>4000.0</v>
      </c>
      <c r="H229" s="190">
        <f>'PAINEL DE CONTROLE'!$J$5</f>
        <v>6544</v>
      </c>
      <c r="I229" s="190">
        <v>0.0</v>
      </c>
      <c r="J229" s="190">
        <f t="shared" si="3"/>
        <v>4000</v>
      </c>
      <c r="K229" s="190">
        <f t="shared" si="4"/>
        <v>-2544</v>
      </c>
      <c r="L229" s="60"/>
      <c r="M229" s="31"/>
      <c r="N229" s="61"/>
      <c r="O229" s="60"/>
      <c r="P229" s="31"/>
      <c r="Q229" s="61"/>
      <c r="R229" s="60"/>
      <c r="S229" s="31"/>
      <c r="T229" s="61"/>
      <c r="U229" s="60"/>
      <c r="V229" s="31"/>
      <c r="W229" s="61"/>
      <c r="X229" s="60"/>
      <c r="Y229" s="31"/>
      <c r="Z229" s="61"/>
      <c r="AA229" s="60"/>
      <c r="AB229" s="31"/>
      <c r="AC229" s="61"/>
      <c r="AD229" s="60"/>
      <c r="AE229" s="31"/>
      <c r="AF229" s="61"/>
      <c r="AG229" s="60"/>
      <c r="AH229" s="31"/>
      <c r="AI229" s="61"/>
      <c r="AJ229" s="60"/>
      <c r="AK229" s="31"/>
      <c r="AL229" s="61"/>
      <c r="AM229" s="60"/>
      <c r="AN229" s="31"/>
      <c r="AO229" s="61"/>
      <c r="AP229" s="60"/>
      <c r="AQ229" s="31"/>
      <c r="AR229" s="61"/>
      <c r="AS229" s="60"/>
      <c r="AT229" s="31"/>
      <c r="AU229" s="61"/>
    </row>
    <row r="230" ht="36.75" customHeight="1">
      <c r="A230" s="62"/>
      <c r="B230" s="156"/>
      <c r="C230" s="105" t="str">
        <f>VLOOKUP(D230,[1]Saldo!A229:B31502,2,0)</f>
        <v>#ERROR!</v>
      </c>
      <c r="D230" s="156" t="s">
        <v>908</v>
      </c>
      <c r="E230" s="156" t="s">
        <v>889</v>
      </c>
      <c r="F230" s="189">
        <v>3.0</v>
      </c>
      <c r="G230" s="191">
        <v>4000.0</v>
      </c>
      <c r="H230" s="190">
        <f>'PAINEL DE CONTROLE'!$J$5</f>
        <v>6544</v>
      </c>
      <c r="I230" s="190">
        <v>0.0</v>
      </c>
      <c r="J230" s="190">
        <f t="shared" si="3"/>
        <v>4000</v>
      </c>
      <c r="K230" s="190">
        <f t="shared" si="4"/>
        <v>-2544</v>
      </c>
      <c r="L230" s="60"/>
      <c r="M230" s="31"/>
      <c r="N230" s="61"/>
      <c r="O230" s="60"/>
      <c r="P230" s="31"/>
      <c r="Q230" s="61"/>
      <c r="R230" s="60"/>
      <c r="S230" s="31"/>
      <c r="T230" s="61"/>
      <c r="U230" s="60"/>
      <c r="V230" s="31"/>
      <c r="W230" s="61"/>
      <c r="X230" s="60"/>
      <c r="Y230" s="31"/>
      <c r="Z230" s="61"/>
      <c r="AA230" s="60"/>
      <c r="AB230" s="31"/>
      <c r="AC230" s="61"/>
      <c r="AD230" s="60"/>
      <c r="AE230" s="31"/>
      <c r="AF230" s="61"/>
      <c r="AG230" s="60"/>
      <c r="AH230" s="31"/>
      <c r="AI230" s="61"/>
      <c r="AJ230" s="60"/>
      <c r="AK230" s="31"/>
      <c r="AL230" s="61"/>
      <c r="AM230" s="60"/>
      <c r="AN230" s="31"/>
      <c r="AO230" s="61"/>
      <c r="AP230" s="60"/>
      <c r="AQ230" s="31"/>
      <c r="AR230" s="61"/>
      <c r="AS230" s="60"/>
      <c r="AT230" s="31"/>
      <c r="AU230" s="61"/>
    </row>
    <row r="231" ht="36.75" customHeight="1">
      <c r="A231" s="62"/>
      <c r="B231" s="156"/>
      <c r="C231" s="105" t="str">
        <f>VLOOKUP(D231,[1]Saldo!A230:B31503,2,0)</f>
        <v>#ERROR!</v>
      </c>
      <c r="D231" s="156" t="s">
        <v>909</v>
      </c>
      <c r="E231" s="156" t="s">
        <v>672</v>
      </c>
      <c r="F231" s="189">
        <v>4.0</v>
      </c>
      <c r="G231" s="191">
        <v>4000.0</v>
      </c>
      <c r="H231" s="190">
        <f>'PAINEL DE CONTROLE'!$J$5</f>
        <v>6544</v>
      </c>
      <c r="I231" s="190">
        <v>0.0</v>
      </c>
      <c r="J231" s="190">
        <f t="shared" si="3"/>
        <v>4000</v>
      </c>
      <c r="K231" s="190">
        <f t="shared" si="4"/>
        <v>-2544</v>
      </c>
      <c r="L231" s="60"/>
      <c r="M231" s="31"/>
      <c r="N231" s="61"/>
      <c r="O231" s="60"/>
      <c r="P231" s="31"/>
      <c r="Q231" s="61"/>
      <c r="R231" s="60"/>
      <c r="S231" s="31"/>
      <c r="T231" s="61"/>
      <c r="U231" s="60"/>
      <c r="V231" s="31"/>
      <c r="W231" s="61"/>
      <c r="X231" s="60"/>
      <c r="Y231" s="31"/>
      <c r="Z231" s="61"/>
      <c r="AA231" s="60"/>
      <c r="AB231" s="31"/>
      <c r="AC231" s="61"/>
      <c r="AD231" s="60"/>
      <c r="AE231" s="31"/>
      <c r="AF231" s="61"/>
      <c r="AG231" s="60"/>
      <c r="AH231" s="31"/>
      <c r="AI231" s="61"/>
      <c r="AJ231" s="60"/>
      <c r="AK231" s="31"/>
      <c r="AL231" s="61"/>
      <c r="AM231" s="60"/>
      <c r="AN231" s="31"/>
      <c r="AO231" s="61"/>
      <c r="AP231" s="60"/>
      <c r="AQ231" s="31"/>
      <c r="AR231" s="61"/>
      <c r="AS231" s="60"/>
      <c r="AT231" s="31"/>
      <c r="AU231" s="61"/>
    </row>
    <row r="232" ht="36.75" customHeight="1">
      <c r="A232" s="62"/>
      <c r="B232" s="156"/>
      <c r="C232" s="105" t="str">
        <f>VLOOKUP(D232,[1]Saldo!A231:B31504,2,0)</f>
        <v>#ERROR!</v>
      </c>
      <c r="D232" s="156" t="s">
        <v>910</v>
      </c>
      <c r="E232" s="156" t="s">
        <v>889</v>
      </c>
      <c r="F232" s="189">
        <v>2.0</v>
      </c>
      <c r="G232" s="191">
        <v>4000.0</v>
      </c>
      <c r="H232" s="190">
        <f>'PAINEL DE CONTROLE'!$J$5</f>
        <v>6544</v>
      </c>
      <c r="I232" s="190">
        <v>0.0</v>
      </c>
      <c r="J232" s="190">
        <f t="shared" si="3"/>
        <v>4000</v>
      </c>
      <c r="K232" s="190">
        <f t="shared" si="4"/>
        <v>-2544</v>
      </c>
      <c r="L232" s="60"/>
      <c r="M232" s="31"/>
      <c r="N232" s="61"/>
      <c r="O232" s="60"/>
      <c r="P232" s="31"/>
      <c r="Q232" s="61"/>
      <c r="R232" s="60"/>
      <c r="S232" s="31"/>
      <c r="T232" s="61"/>
      <c r="U232" s="60"/>
      <c r="V232" s="31"/>
      <c r="W232" s="61"/>
      <c r="X232" s="60"/>
      <c r="Y232" s="31"/>
      <c r="Z232" s="61"/>
      <c r="AA232" s="60"/>
      <c r="AB232" s="31"/>
      <c r="AC232" s="61"/>
      <c r="AD232" s="60"/>
      <c r="AE232" s="31"/>
      <c r="AF232" s="61"/>
      <c r="AG232" s="60"/>
      <c r="AH232" s="31"/>
      <c r="AI232" s="61"/>
      <c r="AJ232" s="60"/>
      <c r="AK232" s="31"/>
      <c r="AL232" s="61"/>
      <c r="AM232" s="60"/>
      <c r="AN232" s="31"/>
      <c r="AO232" s="61"/>
      <c r="AP232" s="60"/>
      <c r="AQ232" s="31"/>
      <c r="AR232" s="61"/>
      <c r="AS232" s="60"/>
      <c r="AT232" s="31"/>
      <c r="AU232" s="61"/>
    </row>
    <row r="233" ht="36.75" customHeight="1">
      <c r="A233" s="63"/>
      <c r="B233" s="160">
        <v>672.0</v>
      </c>
      <c r="C233" s="105" t="s">
        <v>911</v>
      </c>
      <c r="D233" s="156" t="s">
        <v>912</v>
      </c>
      <c r="E233" s="156" t="s">
        <v>913</v>
      </c>
      <c r="F233" s="189">
        <v>1.0</v>
      </c>
      <c r="G233" s="156">
        <v>500.0</v>
      </c>
      <c r="H233" s="190">
        <f>'PAINEL DE CONTROLE'!$J$5</f>
        <v>6544</v>
      </c>
      <c r="I233" s="190">
        <v>4003.0</v>
      </c>
      <c r="J233" s="190">
        <f t="shared" si="3"/>
        <v>4503</v>
      </c>
      <c r="K233" s="190">
        <f t="shared" si="4"/>
        <v>-2041</v>
      </c>
      <c r="L233" s="60"/>
      <c r="M233" s="31"/>
      <c r="N233" s="61"/>
      <c r="O233" s="60"/>
      <c r="P233" s="31"/>
      <c r="Q233" s="61"/>
      <c r="R233" s="60"/>
      <c r="S233" s="31"/>
      <c r="T233" s="61"/>
      <c r="U233" s="60"/>
      <c r="V233" s="31"/>
      <c r="W233" s="61"/>
      <c r="X233" s="60"/>
      <c r="Y233" s="31"/>
      <c r="Z233" s="61"/>
      <c r="AA233" s="60"/>
      <c r="AB233" s="31"/>
      <c r="AC233" s="61"/>
      <c r="AD233" s="60"/>
      <c r="AE233" s="31"/>
      <c r="AF233" s="61"/>
      <c r="AG233" s="60"/>
      <c r="AH233" s="31"/>
      <c r="AI233" s="61"/>
      <c r="AJ233" s="60"/>
      <c r="AK233" s="31"/>
      <c r="AL233" s="61"/>
      <c r="AM233" s="60"/>
      <c r="AN233" s="31"/>
      <c r="AO233" s="61"/>
      <c r="AP233" s="60"/>
      <c r="AQ233" s="31"/>
      <c r="AR233" s="61"/>
      <c r="AS233" s="60"/>
      <c r="AT233" s="31"/>
      <c r="AU233" s="61"/>
    </row>
    <row r="234" ht="36.75" customHeight="1">
      <c r="A234" s="147" t="s">
        <v>914</v>
      </c>
      <c r="B234" s="156"/>
      <c r="C234" s="105" t="str">
        <f>VLOOKUP(D234,[1]Saldo!A232:B31505,2,0)</f>
        <v>#ERROR!</v>
      </c>
      <c r="D234" s="156" t="s">
        <v>915</v>
      </c>
      <c r="E234" s="156" t="s">
        <v>742</v>
      </c>
      <c r="F234" s="189">
        <v>4.0</v>
      </c>
      <c r="G234" s="191">
        <v>12000.0</v>
      </c>
      <c r="H234" s="190">
        <f>'PAINEL DE CONTROLE'!$J$5</f>
        <v>6544</v>
      </c>
      <c r="I234" s="190">
        <v>0.0</v>
      </c>
      <c r="J234" s="190">
        <f t="shared" si="3"/>
        <v>12000</v>
      </c>
      <c r="K234" s="190">
        <f t="shared" si="4"/>
        <v>5456</v>
      </c>
      <c r="L234" s="60"/>
      <c r="M234" s="31"/>
      <c r="N234" s="61"/>
      <c r="O234" s="60"/>
      <c r="P234" s="31"/>
      <c r="Q234" s="61"/>
      <c r="R234" s="60"/>
      <c r="S234" s="31"/>
      <c r="T234" s="61"/>
      <c r="U234" s="60"/>
      <c r="V234" s="31"/>
      <c r="W234" s="61"/>
      <c r="X234" s="60"/>
      <c r="Y234" s="31"/>
      <c r="Z234" s="61"/>
      <c r="AA234" s="60"/>
      <c r="AB234" s="31"/>
      <c r="AC234" s="61"/>
      <c r="AD234" s="60"/>
      <c r="AE234" s="31"/>
      <c r="AF234" s="61"/>
      <c r="AG234" s="60"/>
      <c r="AH234" s="31"/>
      <c r="AI234" s="61"/>
      <c r="AJ234" s="60"/>
      <c r="AK234" s="31"/>
      <c r="AL234" s="61"/>
      <c r="AM234" s="60"/>
      <c r="AN234" s="31"/>
      <c r="AO234" s="61"/>
      <c r="AP234" s="60"/>
      <c r="AQ234" s="31"/>
      <c r="AR234" s="61"/>
      <c r="AS234" s="60"/>
      <c r="AT234" s="31"/>
      <c r="AU234" s="61"/>
    </row>
    <row r="235" ht="36.75" customHeight="1">
      <c r="A235" s="62"/>
      <c r="B235" s="156"/>
      <c r="C235" s="105" t="str">
        <f>VLOOKUP(D235,[1]Saldo!A233:B31506,2,0)</f>
        <v>#ERROR!</v>
      </c>
      <c r="D235" s="156" t="s">
        <v>916</v>
      </c>
      <c r="E235" s="156" t="s">
        <v>917</v>
      </c>
      <c r="F235" s="189">
        <v>2.0</v>
      </c>
      <c r="G235" s="191">
        <v>12000.0</v>
      </c>
      <c r="H235" s="190">
        <f>'PAINEL DE CONTROLE'!$J$5</f>
        <v>6544</v>
      </c>
      <c r="I235" s="190">
        <v>0.0</v>
      </c>
      <c r="J235" s="190">
        <f t="shared" si="3"/>
        <v>12000</v>
      </c>
      <c r="K235" s="190">
        <f t="shared" si="4"/>
        <v>5456</v>
      </c>
      <c r="L235" s="60"/>
      <c r="M235" s="31"/>
      <c r="N235" s="61"/>
      <c r="O235" s="60"/>
      <c r="P235" s="31"/>
      <c r="Q235" s="61"/>
      <c r="R235" s="60"/>
      <c r="S235" s="31"/>
      <c r="T235" s="61"/>
      <c r="U235" s="60"/>
      <c r="V235" s="31"/>
      <c r="W235" s="61"/>
      <c r="X235" s="60"/>
      <c r="Y235" s="31"/>
      <c r="Z235" s="61"/>
      <c r="AA235" s="60"/>
      <c r="AB235" s="31"/>
      <c r="AC235" s="61"/>
      <c r="AD235" s="60"/>
      <c r="AE235" s="31"/>
      <c r="AF235" s="61"/>
      <c r="AG235" s="60"/>
      <c r="AH235" s="31"/>
      <c r="AI235" s="61"/>
      <c r="AJ235" s="60"/>
      <c r="AK235" s="31"/>
      <c r="AL235" s="61"/>
      <c r="AM235" s="60"/>
      <c r="AN235" s="31"/>
      <c r="AO235" s="61"/>
      <c r="AP235" s="60"/>
      <c r="AQ235" s="31"/>
      <c r="AR235" s="61"/>
      <c r="AS235" s="60"/>
      <c r="AT235" s="31"/>
      <c r="AU235" s="61"/>
    </row>
    <row r="236" ht="36.75" customHeight="1">
      <c r="A236" s="62"/>
      <c r="B236" s="156"/>
      <c r="C236" s="105" t="str">
        <f>VLOOKUP(D236,[1]Saldo!A234:B31507,2,0)</f>
        <v>#ERROR!</v>
      </c>
      <c r="D236" s="156" t="s">
        <v>918</v>
      </c>
      <c r="E236" s="156" t="s">
        <v>919</v>
      </c>
      <c r="F236" s="189">
        <v>4.0</v>
      </c>
      <c r="G236" s="191">
        <v>12000.0</v>
      </c>
      <c r="H236" s="190">
        <f>'PAINEL DE CONTROLE'!$J$5</f>
        <v>6544</v>
      </c>
      <c r="I236" s="190">
        <v>0.0</v>
      </c>
      <c r="J236" s="190">
        <f t="shared" si="3"/>
        <v>12000</v>
      </c>
      <c r="K236" s="190">
        <f t="shared" si="4"/>
        <v>5456</v>
      </c>
      <c r="L236" s="60"/>
      <c r="M236" s="31"/>
      <c r="N236" s="61"/>
      <c r="O236" s="60"/>
      <c r="P236" s="31"/>
      <c r="Q236" s="61"/>
      <c r="R236" s="60"/>
      <c r="S236" s="31"/>
      <c r="T236" s="61"/>
      <c r="U236" s="60"/>
      <c r="V236" s="31"/>
      <c r="W236" s="61"/>
      <c r="X236" s="60"/>
      <c r="Y236" s="31"/>
      <c r="Z236" s="61"/>
      <c r="AA236" s="60"/>
      <c r="AB236" s="31"/>
      <c r="AC236" s="61"/>
      <c r="AD236" s="60"/>
      <c r="AE236" s="31"/>
      <c r="AF236" s="61"/>
      <c r="AG236" s="60"/>
      <c r="AH236" s="31"/>
      <c r="AI236" s="61"/>
      <c r="AJ236" s="60"/>
      <c r="AK236" s="31"/>
      <c r="AL236" s="61"/>
      <c r="AM236" s="60"/>
      <c r="AN236" s="31"/>
      <c r="AO236" s="61"/>
      <c r="AP236" s="60"/>
      <c r="AQ236" s="31"/>
      <c r="AR236" s="61"/>
      <c r="AS236" s="60"/>
      <c r="AT236" s="31"/>
      <c r="AU236" s="61"/>
    </row>
    <row r="237" ht="36.75" customHeight="1">
      <c r="A237" s="62"/>
      <c r="B237" s="156"/>
      <c r="C237" s="105" t="str">
        <f>VLOOKUP(D237,[1]Saldo!A235:B31508,2,0)</f>
        <v>#ERROR!</v>
      </c>
      <c r="D237" s="156" t="s">
        <v>920</v>
      </c>
      <c r="E237" s="156" t="s">
        <v>921</v>
      </c>
      <c r="F237" s="189">
        <v>1.0</v>
      </c>
      <c r="G237" s="191">
        <v>12000.0</v>
      </c>
      <c r="H237" s="190">
        <f>'PAINEL DE CONTROLE'!$J$5</f>
        <v>6544</v>
      </c>
      <c r="I237" s="190">
        <v>0.0</v>
      </c>
      <c r="J237" s="190">
        <f t="shared" si="3"/>
        <v>12000</v>
      </c>
      <c r="K237" s="190">
        <f t="shared" si="4"/>
        <v>5456</v>
      </c>
      <c r="L237" s="60"/>
      <c r="M237" s="31"/>
      <c r="N237" s="61"/>
      <c r="O237" s="60"/>
      <c r="P237" s="31"/>
      <c r="Q237" s="61"/>
      <c r="R237" s="60"/>
      <c r="S237" s="31"/>
      <c r="T237" s="61"/>
      <c r="U237" s="60"/>
      <c r="V237" s="31"/>
      <c r="W237" s="61"/>
      <c r="X237" s="60"/>
      <c r="Y237" s="31"/>
      <c r="Z237" s="61"/>
      <c r="AA237" s="60"/>
      <c r="AB237" s="31"/>
      <c r="AC237" s="61"/>
      <c r="AD237" s="60"/>
      <c r="AE237" s="31"/>
      <c r="AF237" s="61"/>
      <c r="AG237" s="60"/>
      <c r="AH237" s="31"/>
      <c r="AI237" s="61"/>
      <c r="AJ237" s="60"/>
      <c r="AK237" s="31"/>
      <c r="AL237" s="61"/>
      <c r="AM237" s="60"/>
      <c r="AN237" s="31"/>
      <c r="AO237" s="61"/>
      <c r="AP237" s="60"/>
      <c r="AQ237" s="31"/>
      <c r="AR237" s="61"/>
      <c r="AS237" s="60"/>
      <c r="AT237" s="31"/>
      <c r="AU237" s="61"/>
    </row>
    <row r="238" ht="36.75" customHeight="1">
      <c r="A238" s="62"/>
      <c r="B238" s="156"/>
      <c r="C238" s="105" t="str">
        <f>VLOOKUP(D238,[1]Saldo!A236:B31509,2,0)</f>
        <v>#ERROR!</v>
      </c>
      <c r="D238" s="156" t="s">
        <v>922</v>
      </c>
      <c r="E238" s="156" t="s">
        <v>923</v>
      </c>
      <c r="F238" s="189">
        <v>1.0</v>
      </c>
      <c r="G238" s="191">
        <v>12000.0</v>
      </c>
      <c r="H238" s="190">
        <f>'PAINEL DE CONTROLE'!$J$5</f>
        <v>6544</v>
      </c>
      <c r="I238" s="190">
        <v>0.0</v>
      </c>
      <c r="J238" s="190">
        <f t="shared" si="3"/>
        <v>12000</v>
      </c>
      <c r="K238" s="190">
        <f t="shared" si="4"/>
        <v>5456</v>
      </c>
      <c r="L238" s="60"/>
      <c r="M238" s="31"/>
      <c r="N238" s="61"/>
      <c r="O238" s="60"/>
      <c r="P238" s="31"/>
      <c r="Q238" s="61"/>
      <c r="R238" s="60"/>
      <c r="S238" s="31"/>
      <c r="T238" s="61"/>
      <c r="U238" s="60"/>
      <c r="V238" s="31"/>
      <c r="W238" s="61"/>
      <c r="X238" s="60"/>
      <c r="Y238" s="31"/>
      <c r="Z238" s="61"/>
      <c r="AA238" s="60"/>
      <c r="AB238" s="31"/>
      <c r="AC238" s="61"/>
      <c r="AD238" s="60"/>
      <c r="AE238" s="31"/>
      <c r="AF238" s="61"/>
      <c r="AG238" s="60"/>
      <c r="AH238" s="31"/>
      <c r="AI238" s="61"/>
      <c r="AJ238" s="60"/>
      <c r="AK238" s="31"/>
      <c r="AL238" s="61"/>
      <c r="AM238" s="60"/>
      <c r="AN238" s="31"/>
      <c r="AO238" s="61"/>
      <c r="AP238" s="60"/>
      <c r="AQ238" s="31"/>
      <c r="AR238" s="61"/>
      <c r="AS238" s="60"/>
      <c r="AT238" s="31"/>
      <c r="AU238" s="61"/>
    </row>
    <row r="239" ht="36.75" customHeight="1">
      <c r="A239" s="62"/>
      <c r="B239" s="156"/>
      <c r="C239" s="105" t="str">
        <f>VLOOKUP(D239,[1]Saldo!A237:B31510,2,0)</f>
        <v>#ERROR!</v>
      </c>
      <c r="D239" s="156" t="s">
        <v>924</v>
      </c>
      <c r="E239" s="156" t="s">
        <v>925</v>
      </c>
      <c r="F239" s="189">
        <v>2.0</v>
      </c>
      <c r="G239" s="191">
        <v>12000.0</v>
      </c>
      <c r="H239" s="190">
        <f>'PAINEL DE CONTROLE'!$J$5</f>
        <v>6544</v>
      </c>
      <c r="I239" s="190">
        <v>0.0</v>
      </c>
      <c r="J239" s="190">
        <f t="shared" si="3"/>
        <v>12000</v>
      </c>
      <c r="K239" s="190">
        <f t="shared" si="4"/>
        <v>5456</v>
      </c>
      <c r="L239" s="60"/>
      <c r="M239" s="31"/>
      <c r="N239" s="61"/>
      <c r="O239" s="60"/>
      <c r="P239" s="31"/>
      <c r="Q239" s="61"/>
      <c r="R239" s="60"/>
      <c r="S239" s="31"/>
      <c r="T239" s="61"/>
      <c r="U239" s="60"/>
      <c r="V239" s="31"/>
      <c r="W239" s="61"/>
      <c r="X239" s="60"/>
      <c r="Y239" s="31"/>
      <c r="Z239" s="61"/>
      <c r="AA239" s="60"/>
      <c r="AB239" s="31"/>
      <c r="AC239" s="61"/>
      <c r="AD239" s="60"/>
      <c r="AE239" s="31"/>
      <c r="AF239" s="61"/>
      <c r="AG239" s="60"/>
      <c r="AH239" s="31"/>
      <c r="AI239" s="61"/>
      <c r="AJ239" s="60"/>
      <c r="AK239" s="31"/>
      <c r="AL239" s="61"/>
      <c r="AM239" s="60"/>
      <c r="AN239" s="31"/>
      <c r="AO239" s="61"/>
      <c r="AP239" s="60"/>
      <c r="AQ239" s="31"/>
      <c r="AR239" s="61"/>
      <c r="AS239" s="60"/>
      <c r="AT239" s="31"/>
      <c r="AU239" s="61"/>
    </row>
    <row r="240" ht="36.75" customHeight="1">
      <c r="A240" s="62"/>
      <c r="B240" s="156"/>
      <c r="C240" s="105" t="str">
        <f>VLOOKUP(D240,[1]Saldo!A238:B31511,2,0)</f>
        <v>#ERROR!</v>
      </c>
      <c r="D240" s="156" t="s">
        <v>926</v>
      </c>
      <c r="E240" s="156" t="s">
        <v>927</v>
      </c>
      <c r="F240" s="189">
        <v>2.0</v>
      </c>
      <c r="G240" s="191">
        <v>12000.0</v>
      </c>
      <c r="H240" s="190">
        <f>'PAINEL DE CONTROLE'!$J$5</f>
        <v>6544</v>
      </c>
      <c r="I240" s="190">
        <v>0.0</v>
      </c>
      <c r="J240" s="190">
        <f t="shared" si="3"/>
        <v>12000</v>
      </c>
      <c r="K240" s="190">
        <f t="shared" si="4"/>
        <v>5456</v>
      </c>
      <c r="L240" s="60"/>
      <c r="M240" s="31"/>
      <c r="N240" s="61"/>
      <c r="O240" s="60"/>
      <c r="P240" s="31"/>
      <c r="Q240" s="61"/>
      <c r="R240" s="60"/>
      <c r="S240" s="31"/>
      <c r="T240" s="61"/>
      <c r="U240" s="60"/>
      <c r="V240" s="31"/>
      <c r="W240" s="61"/>
      <c r="X240" s="60"/>
      <c r="Y240" s="31"/>
      <c r="Z240" s="61"/>
      <c r="AA240" s="60"/>
      <c r="AB240" s="31"/>
      <c r="AC240" s="61"/>
      <c r="AD240" s="60"/>
      <c r="AE240" s="31"/>
      <c r="AF240" s="61"/>
      <c r="AG240" s="60"/>
      <c r="AH240" s="31"/>
      <c r="AI240" s="61"/>
      <c r="AJ240" s="60"/>
      <c r="AK240" s="31"/>
      <c r="AL240" s="61"/>
      <c r="AM240" s="60"/>
      <c r="AN240" s="31"/>
      <c r="AO240" s="61"/>
      <c r="AP240" s="60"/>
      <c r="AQ240" s="31"/>
      <c r="AR240" s="61"/>
      <c r="AS240" s="60"/>
      <c r="AT240" s="31"/>
      <c r="AU240" s="61"/>
    </row>
    <row r="241" ht="36.75" customHeight="1">
      <c r="A241" s="62"/>
      <c r="B241" s="156"/>
      <c r="C241" s="105" t="str">
        <f>VLOOKUP(D241,[1]Saldo!A239:B31512,2,0)</f>
        <v>#ERROR!</v>
      </c>
      <c r="D241" s="156" t="s">
        <v>928</v>
      </c>
      <c r="E241" s="156" t="s">
        <v>929</v>
      </c>
      <c r="F241" s="189">
        <v>2.0</v>
      </c>
      <c r="G241" s="191">
        <v>12000.0</v>
      </c>
      <c r="H241" s="190">
        <f>'PAINEL DE CONTROLE'!$J$5</f>
        <v>6544</v>
      </c>
      <c r="I241" s="190">
        <v>0.0</v>
      </c>
      <c r="J241" s="190">
        <f t="shared" si="3"/>
        <v>12000</v>
      </c>
      <c r="K241" s="190">
        <f t="shared" si="4"/>
        <v>5456</v>
      </c>
      <c r="L241" s="60"/>
      <c r="M241" s="31"/>
      <c r="N241" s="61"/>
      <c r="O241" s="60"/>
      <c r="P241" s="31"/>
      <c r="Q241" s="61"/>
      <c r="R241" s="60"/>
      <c r="S241" s="31"/>
      <c r="T241" s="61"/>
      <c r="U241" s="60"/>
      <c r="V241" s="31"/>
      <c r="W241" s="61"/>
      <c r="X241" s="60"/>
      <c r="Y241" s="31"/>
      <c r="Z241" s="61"/>
      <c r="AA241" s="60"/>
      <c r="AB241" s="31"/>
      <c r="AC241" s="61"/>
      <c r="AD241" s="60"/>
      <c r="AE241" s="31"/>
      <c r="AF241" s="61"/>
      <c r="AG241" s="60"/>
      <c r="AH241" s="31"/>
      <c r="AI241" s="61"/>
      <c r="AJ241" s="60"/>
      <c r="AK241" s="31"/>
      <c r="AL241" s="61"/>
      <c r="AM241" s="60"/>
      <c r="AN241" s="31"/>
      <c r="AO241" s="61"/>
      <c r="AP241" s="60"/>
      <c r="AQ241" s="31"/>
      <c r="AR241" s="61"/>
      <c r="AS241" s="60"/>
      <c r="AT241" s="31"/>
      <c r="AU241" s="61"/>
    </row>
    <row r="242" ht="36.75" customHeight="1">
      <c r="A242" s="62"/>
      <c r="B242" s="156"/>
      <c r="C242" s="105" t="str">
        <f>VLOOKUP(D242,[1]Saldo!A240:B31513,2,0)</f>
        <v>#ERROR!</v>
      </c>
      <c r="D242" s="156" t="s">
        <v>930</v>
      </c>
      <c r="E242" s="156" t="s">
        <v>931</v>
      </c>
      <c r="F242" s="189">
        <v>2.0</v>
      </c>
      <c r="G242" s="191">
        <v>12000.0</v>
      </c>
      <c r="H242" s="190">
        <f>'PAINEL DE CONTROLE'!$J$5</f>
        <v>6544</v>
      </c>
      <c r="I242" s="190">
        <v>0.0</v>
      </c>
      <c r="J242" s="190">
        <f t="shared" si="3"/>
        <v>12000</v>
      </c>
      <c r="K242" s="190">
        <f t="shared" si="4"/>
        <v>5456</v>
      </c>
      <c r="L242" s="60"/>
      <c r="M242" s="31"/>
      <c r="N242" s="61"/>
      <c r="O242" s="60"/>
      <c r="P242" s="31"/>
      <c r="Q242" s="61"/>
      <c r="R242" s="60"/>
      <c r="S242" s="31"/>
      <c r="T242" s="61"/>
      <c r="U242" s="60"/>
      <c r="V242" s="31"/>
      <c r="W242" s="61"/>
      <c r="X242" s="60"/>
      <c r="Y242" s="31"/>
      <c r="Z242" s="61"/>
      <c r="AA242" s="60"/>
      <c r="AB242" s="31"/>
      <c r="AC242" s="61"/>
      <c r="AD242" s="60"/>
      <c r="AE242" s="31"/>
      <c r="AF242" s="61"/>
      <c r="AG242" s="60"/>
      <c r="AH242" s="31"/>
      <c r="AI242" s="61"/>
      <c r="AJ242" s="60"/>
      <c r="AK242" s="31"/>
      <c r="AL242" s="61"/>
      <c r="AM242" s="60"/>
      <c r="AN242" s="31"/>
      <c r="AO242" s="61"/>
      <c r="AP242" s="60"/>
      <c r="AQ242" s="31"/>
      <c r="AR242" s="61"/>
      <c r="AS242" s="60"/>
      <c r="AT242" s="31"/>
      <c r="AU242" s="61"/>
    </row>
    <row r="243" ht="36.75" customHeight="1">
      <c r="A243" s="62"/>
      <c r="B243" s="156"/>
      <c r="C243" s="105" t="str">
        <f>VLOOKUP(D243,[1]Saldo!A241:B31514,2,0)</f>
        <v>#ERROR!</v>
      </c>
      <c r="D243" s="156" t="s">
        <v>932</v>
      </c>
      <c r="E243" s="156" t="s">
        <v>929</v>
      </c>
      <c r="F243" s="189">
        <v>2.0</v>
      </c>
      <c r="G243" s="191">
        <v>12000.0</v>
      </c>
      <c r="H243" s="190">
        <f>'PAINEL DE CONTROLE'!$J$5</f>
        <v>6544</v>
      </c>
      <c r="I243" s="190">
        <v>0.0</v>
      </c>
      <c r="J243" s="190">
        <f t="shared" si="3"/>
        <v>12000</v>
      </c>
      <c r="K243" s="190">
        <f t="shared" si="4"/>
        <v>5456</v>
      </c>
      <c r="L243" s="60"/>
      <c r="M243" s="31"/>
      <c r="N243" s="61"/>
      <c r="O243" s="60"/>
      <c r="P243" s="31"/>
      <c r="Q243" s="61"/>
      <c r="R243" s="60"/>
      <c r="S243" s="31"/>
      <c r="T243" s="61"/>
      <c r="U243" s="60"/>
      <c r="V243" s="31"/>
      <c r="W243" s="61"/>
      <c r="X243" s="60"/>
      <c r="Y243" s="31"/>
      <c r="Z243" s="61"/>
      <c r="AA243" s="60"/>
      <c r="AB243" s="31"/>
      <c r="AC243" s="61"/>
      <c r="AD243" s="60"/>
      <c r="AE243" s="31"/>
      <c r="AF243" s="61"/>
      <c r="AG243" s="60"/>
      <c r="AH243" s="31"/>
      <c r="AI243" s="61"/>
      <c r="AJ243" s="60"/>
      <c r="AK243" s="31"/>
      <c r="AL243" s="61"/>
      <c r="AM243" s="60"/>
      <c r="AN243" s="31"/>
      <c r="AO243" s="61"/>
      <c r="AP243" s="60"/>
      <c r="AQ243" s="31"/>
      <c r="AR243" s="61"/>
      <c r="AS243" s="60"/>
      <c r="AT243" s="31"/>
      <c r="AU243" s="61"/>
    </row>
    <row r="244" ht="36.75" customHeight="1">
      <c r="A244" s="62"/>
      <c r="B244" s="156"/>
      <c r="C244" s="105" t="str">
        <f>VLOOKUP(D244,[1]Saldo!A242:B31515,2,0)</f>
        <v>#ERROR!</v>
      </c>
      <c r="D244" s="156" t="s">
        <v>933</v>
      </c>
      <c r="E244" s="156" t="s">
        <v>934</v>
      </c>
      <c r="F244" s="189">
        <v>2.0</v>
      </c>
      <c r="G244" s="191">
        <v>12000.0</v>
      </c>
      <c r="H244" s="190">
        <f>'PAINEL DE CONTROLE'!$J$5</f>
        <v>6544</v>
      </c>
      <c r="I244" s="190">
        <v>0.0</v>
      </c>
      <c r="J244" s="190">
        <f t="shared" si="3"/>
        <v>12000</v>
      </c>
      <c r="K244" s="190">
        <f t="shared" si="4"/>
        <v>5456</v>
      </c>
      <c r="L244" s="60"/>
      <c r="M244" s="31"/>
      <c r="N244" s="61"/>
      <c r="O244" s="60"/>
      <c r="P244" s="31"/>
      <c r="Q244" s="61"/>
      <c r="R244" s="60"/>
      <c r="S244" s="31"/>
      <c r="T244" s="61"/>
      <c r="U244" s="60"/>
      <c r="V244" s="31"/>
      <c r="W244" s="61"/>
      <c r="X244" s="60"/>
      <c r="Y244" s="31"/>
      <c r="Z244" s="61"/>
      <c r="AA244" s="60"/>
      <c r="AB244" s="31"/>
      <c r="AC244" s="61"/>
      <c r="AD244" s="60"/>
      <c r="AE244" s="31"/>
      <c r="AF244" s="61"/>
      <c r="AG244" s="60"/>
      <c r="AH244" s="31"/>
      <c r="AI244" s="61"/>
      <c r="AJ244" s="60"/>
      <c r="AK244" s="31"/>
      <c r="AL244" s="61"/>
      <c r="AM244" s="60"/>
      <c r="AN244" s="31"/>
      <c r="AO244" s="61"/>
      <c r="AP244" s="60"/>
      <c r="AQ244" s="31"/>
      <c r="AR244" s="61"/>
      <c r="AS244" s="60"/>
      <c r="AT244" s="31"/>
      <c r="AU244" s="61"/>
    </row>
    <row r="245" ht="36.75" customHeight="1">
      <c r="A245" s="62"/>
      <c r="B245" s="156"/>
      <c r="C245" s="105" t="str">
        <f>VLOOKUP(D245,[1]Saldo!A243:B31516,2,0)</f>
        <v>#ERROR!</v>
      </c>
      <c r="D245" s="156" t="s">
        <v>935</v>
      </c>
      <c r="E245" s="156" t="s">
        <v>936</v>
      </c>
      <c r="F245" s="189">
        <v>4.0</v>
      </c>
      <c r="G245" s="191">
        <v>12000.0</v>
      </c>
      <c r="H245" s="190">
        <f>'PAINEL DE CONTROLE'!$J$5</f>
        <v>6544</v>
      </c>
      <c r="I245" s="190">
        <v>0.0</v>
      </c>
      <c r="J245" s="190">
        <f t="shared" si="3"/>
        <v>12000</v>
      </c>
      <c r="K245" s="190">
        <f t="shared" si="4"/>
        <v>5456</v>
      </c>
      <c r="L245" s="60"/>
      <c r="M245" s="31"/>
      <c r="N245" s="61"/>
      <c r="O245" s="60"/>
      <c r="P245" s="31"/>
      <c r="Q245" s="61"/>
      <c r="R245" s="60"/>
      <c r="S245" s="31"/>
      <c r="T245" s="61"/>
      <c r="U245" s="60"/>
      <c r="V245" s="31"/>
      <c r="W245" s="61"/>
      <c r="X245" s="60"/>
      <c r="Y245" s="31"/>
      <c r="Z245" s="61"/>
      <c r="AA245" s="60"/>
      <c r="AB245" s="31"/>
      <c r="AC245" s="61"/>
      <c r="AD245" s="60"/>
      <c r="AE245" s="31"/>
      <c r="AF245" s="61"/>
      <c r="AG245" s="60"/>
      <c r="AH245" s="31"/>
      <c r="AI245" s="61"/>
      <c r="AJ245" s="60"/>
      <c r="AK245" s="31"/>
      <c r="AL245" s="61"/>
      <c r="AM245" s="60"/>
      <c r="AN245" s="31"/>
      <c r="AO245" s="61"/>
      <c r="AP245" s="60"/>
      <c r="AQ245" s="31"/>
      <c r="AR245" s="61"/>
      <c r="AS245" s="60"/>
      <c r="AT245" s="31"/>
      <c r="AU245" s="61"/>
    </row>
    <row r="246" ht="36.75" customHeight="1">
      <c r="A246" s="62"/>
      <c r="B246" s="156"/>
      <c r="C246" s="105" t="str">
        <f>VLOOKUP(D246,[1]Saldo!A244:B31517,2,0)</f>
        <v>#ERROR!</v>
      </c>
      <c r="D246" s="156" t="s">
        <v>937</v>
      </c>
      <c r="E246" s="156" t="s">
        <v>938</v>
      </c>
      <c r="F246" s="189">
        <v>4.0</v>
      </c>
      <c r="G246" s="191">
        <v>12000.0</v>
      </c>
      <c r="H246" s="190">
        <f>'PAINEL DE CONTROLE'!$J$5</f>
        <v>6544</v>
      </c>
      <c r="I246" s="190">
        <v>0.0</v>
      </c>
      <c r="J246" s="190">
        <f t="shared" si="3"/>
        <v>12000</v>
      </c>
      <c r="K246" s="190">
        <f t="shared" si="4"/>
        <v>5456</v>
      </c>
      <c r="L246" s="60"/>
      <c r="M246" s="31"/>
      <c r="N246" s="61"/>
      <c r="O246" s="60"/>
      <c r="P246" s="31"/>
      <c r="Q246" s="61"/>
      <c r="R246" s="60"/>
      <c r="S246" s="31"/>
      <c r="T246" s="61"/>
      <c r="U246" s="60"/>
      <c r="V246" s="31"/>
      <c r="W246" s="61"/>
      <c r="X246" s="60"/>
      <c r="Y246" s="31"/>
      <c r="Z246" s="61"/>
      <c r="AA246" s="60"/>
      <c r="AB246" s="31"/>
      <c r="AC246" s="61"/>
      <c r="AD246" s="60"/>
      <c r="AE246" s="31"/>
      <c r="AF246" s="61"/>
      <c r="AG246" s="60"/>
      <c r="AH246" s="31"/>
      <c r="AI246" s="61"/>
      <c r="AJ246" s="60"/>
      <c r="AK246" s="31"/>
      <c r="AL246" s="61"/>
      <c r="AM246" s="60"/>
      <c r="AN246" s="31"/>
      <c r="AO246" s="61"/>
      <c r="AP246" s="60"/>
      <c r="AQ246" s="31"/>
      <c r="AR246" s="61"/>
      <c r="AS246" s="60"/>
      <c r="AT246" s="31"/>
      <c r="AU246" s="61"/>
    </row>
    <row r="247" ht="36.75" customHeight="1">
      <c r="A247" s="62"/>
      <c r="B247" s="156"/>
      <c r="C247" s="105" t="str">
        <f>VLOOKUP(D247,[1]Saldo!A245:B31518,2,0)</f>
        <v>#ERROR!</v>
      </c>
      <c r="D247" s="156" t="s">
        <v>939</v>
      </c>
      <c r="E247" s="156" t="s">
        <v>940</v>
      </c>
      <c r="F247" s="189">
        <v>8.0</v>
      </c>
      <c r="G247" s="191">
        <v>12000.0</v>
      </c>
      <c r="H247" s="190">
        <f>'PAINEL DE CONTROLE'!$J$5</f>
        <v>6544</v>
      </c>
      <c r="I247" s="190">
        <v>0.0</v>
      </c>
      <c r="J247" s="190">
        <f t="shared" si="3"/>
        <v>12000</v>
      </c>
      <c r="K247" s="190">
        <f t="shared" si="4"/>
        <v>5456</v>
      </c>
      <c r="L247" s="60"/>
      <c r="M247" s="31"/>
      <c r="N247" s="61"/>
      <c r="O247" s="60"/>
      <c r="P247" s="31"/>
      <c r="Q247" s="61"/>
      <c r="R247" s="60"/>
      <c r="S247" s="31"/>
      <c r="T247" s="61"/>
      <c r="U247" s="60"/>
      <c r="V247" s="31"/>
      <c r="W247" s="61"/>
      <c r="X247" s="60"/>
      <c r="Y247" s="31"/>
      <c r="Z247" s="61"/>
      <c r="AA247" s="60"/>
      <c r="AB247" s="31"/>
      <c r="AC247" s="61"/>
      <c r="AD247" s="60"/>
      <c r="AE247" s="31"/>
      <c r="AF247" s="61"/>
      <c r="AG247" s="60"/>
      <c r="AH247" s="31"/>
      <c r="AI247" s="61"/>
      <c r="AJ247" s="60"/>
      <c r="AK247" s="31"/>
      <c r="AL247" s="61"/>
      <c r="AM247" s="60"/>
      <c r="AN247" s="31"/>
      <c r="AO247" s="61"/>
      <c r="AP247" s="60"/>
      <c r="AQ247" s="31"/>
      <c r="AR247" s="61"/>
      <c r="AS247" s="60"/>
      <c r="AT247" s="31"/>
      <c r="AU247" s="61"/>
    </row>
    <row r="248" ht="36.75" customHeight="1">
      <c r="A248" s="62"/>
      <c r="B248" s="156"/>
      <c r="C248" s="105" t="str">
        <f>VLOOKUP(D248,[1]Saldo!A246:B31519,2,0)</f>
        <v>#ERROR!</v>
      </c>
      <c r="D248" s="156" t="s">
        <v>941</v>
      </c>
      <c r="E248" s="156" t="s">
        <v>942</v>
      </c>
      <c r="F248" s="189">
        <v>8.0</v>
      </c>
      <c r="G248" s="191">
        <v>12000.0</v>
      </c>
      <c r="H248" s="190">
        <f>'PAINEL DE CONTROLE'!$J$5</f>
        <v>6544</v>
      </c>
      <c r="I248" s="190">
        <v>0.0</v>
      </c>
      <c r="J248" s="190">
        <f t="shared" si="3"/>
        <v>12000</v>
      </c>
      <c r="K248" s="190">
        <f t="shared" si="4"/>
        <v>5456</v>
      </c>
      <c r="L248" s="60"/>
      <c r="M248" s="31"/>
      <c r="N248" s="61"/>
      <c r="O248" s="60"/>
      <c r="P248" s="31"/>
      <c r="Q248" s="61"/>
      <c r="R248" s="60"/>
      <c r="S248" s="31"/>
      <c r="T248" s="61"/>
      <c r="U248" s="60"/>
      <c r="V248" s="31"/>
      <c r="W248" s="61"/>
      <c r="X248" s="60"/>
      <c r="Y248" s="31"/>
      <c r="Z248" s="61"/>
      <c r="AA248" s="60"/>
      <c r="AB248" s="31"/>
      <c r="AC248" s="61"/>
      <c r="AD248" s="60"/>
      <c r="AE248" s="31"/>
      <c r="AF248" s="61"/>
      <c r="AG248" s="60"/>
      <c r="AH248" s="31"/>
      <c r="AI248" s="61"/>
      <c r="AJ248" s="60"/>
      <c r="AK248" s="31"/>
      <c r="AL248" s="61"/>
      <c r="AM248" s="60"/>
      <c r="AN248" s="31"/>
      <c r="AO248" s="61"/>
      <c r="AP248" s="60"/>
      <c r="AQ248" s="31"/>
      <c r="AR248" s="61"/>
      <c r="AS248" s="60"/>
      <c r="AT248" s="31"/>
      <c r="AU248" s="61"/>
    </row>
    <row r="249" ht="36.75" customHeight="1">
      <c r="A249" s="62"/>
      <c r="B249" s="156"/>
      <c r="C249" s="105" t="str">
        <f>VLOOKUP(D249,[1]Saldo!A247:B31520,2,0)</f>
        <v>#ERROR!</v>
      </c>
      <c r="D249" s="156" t="s">
        <v>943</v>
      </c>
      <c r="E249" s="156" t="s">
        <v>944</v>
      </c>
      <c r="F249" s="189">
        <v>3.0</v>
      </c>
      <c r="G249" s="191">
        <v>12000.0</v>
      </c>
      <c r="H249" s="190">
        <f>'PAINEL DE CONTROLE'!$J$5</f>
        <v>6544</v>
      </c>
      <c r="I249" s="190">
        <v>0.0</v>
      </c>
      <c r="J249" s="190">
        <f t="shared" si="3"/>
        <v>12000</v>
      </c>
      <c r="K249" s="190">
        <f t="shared" si="4"/>
        <v>5456</v>
      </c>
      <c r="L249" s="60"/>
      <c r="M249" s="31"/>
      <c r="N249" s="61"/>
      <c r="O249" s="60"/>
      <c r="P249" s="31"/>
      <c r="Q249" s="61"/>
      <c r="R249" s="60"/>
      <c r="S249" s="31"/>
      <c r="T249" s="61"/>
      <c r="U249" s="60"/>
      <c r="V249" s="31"/>
      <c r="W249" s="61"/>
      <c r="X249" s="60"/>
      <c r="Y249" s="31"/>
      <c r="Z249" s="61"/>
      <c r="AA249" s="60"/>
      <c r="AB249" s="31"/>
      <c r="AC249" s="61"/>
      <c r="AD249" s="60"/>
      <c r="AE249" s="31"/>
      <c r="AF249" s="61"/>
      <c r="AG249" s="60"/>
      <c r="AH249" s="31"/>
      <c r="AI249" s="61"/>
      <c r="AJ249" s="60"/>
      <c r="AK249" s="31"/>
      <c r="AL249" s="61"/>
      <c r="AM249" s="60"/>
      <c r="AN249" s="31"/>
      <c r="AO249" s="61"/>
      <c r="AP249" s="60"/>
      <c r="AQ249" s="31"/>
      <c r="AR249" s="61"/>
      <c r="AS249" s="60"/>
      <c r="AT249" s="31"/>
      <c r="AU249" s="61"/>
    </row>
    <row r="250" ht="36.75" customHeight="1">
      <c r="A250" s="62"/>
      <c r="B250" s="156"/>
      <c r="C250" s="105" t="str">
        <f>VLOOKUP(D250,[1]Saldo!A248:B31521,2,0)</f>
        <v>#ERROR!</v>
      </c>
      <c r="D250" s="156" t="s">
        <v>945</v>
      </c>
      <c r="E250" s="156" t="s">
        <v>946</v>
      </c>
      <c r="F250" s="189">
        <v>4.0</v>
      </c>
      <c r="G250" s="191">
        <v>12000.0</v>
      </c>
      <c r="H250" s="190">
        <f>'PAINEL DE CONTROLE'!$J$5</f>
        <v>6544</v>
      </c>
      <c r="I250" s="190">
        <v>0.0</v>
      </c>
      <c r="J250" s="190">
        <f t="shared" si="3"/>
        <v>12000</v>
      </c>
      <c r="K250" s="190">
        <f t="shared" si="4"/>
        <v>5456</v>
      </c>
      <c r="L250" s="60"/>
      <c r="M250" s="31"/>
      <c r="N250" s="61"/>
      <c r="O250" s="60"/>
      <c r="P250" s="31"/>
      <c r="Q250" s="61"/>
      <c r="R250" s="60"/>
      <c r="S250" s="31"/>
      <c r="T250" s="61"/>
      <c r="U250" s="60"/>
      <c r="V250" s="31"/>
      <c r="W250" s="61"/>
      <c r="X250" s="60"/>
      <c r="Y250" s="31"/>
      <c r="Z250" s="61"/>
      <c r="AA250" s="60"/>
      <c r="AB250" s="31"/>
      <c r="AC250" s="61"/>
      <c r="AD250" s="60"/>
      <c r="AE250" s="31"/>
      <c r="AF250" s="61"/>
      <c r="AG250" s="60"/>
      <c r="AH250" s="31"/>
      <c r="AI250" s="61"/>
      <c r="AJ250" s="60"/>
      <c r="AK250" s="31"/>
      <c r="AL250" s="61"/>
      <c r="AM250" s="60"/>
      <c r="AN250" s="31"/>
      <c r="AO250" s="61"/>
      <c r="AP250" s="60"/>
      <c r="AQ250" s="31"/>
      <c r="AR250" s="61"/>
      <c r="AS250" s="60"/>
      <c r="AT250" s="31"/>
      <c r="AU250" s="61"/>
    </row>
    <row r="251" ht="36.75" customHeight="1">
      <c r="A251" s="62"/>
      <c r="B251" s="156"/>
      <c r="C251" s="105" t="str">
        <f>VLOOKUP(D251,[1]Saldo!A249:B31522,2,0)</f>
        <v>#ERROR!</v>
      </c>
      <c r="D251" s="156" t="s">
        <v>947</v>
      </c>
      <c r="E251" s="156" t="s">
        <v>624</v>
      </c>
      <c r="F251" s="189">
        <v>2.0</v>
      </c>
      <c r="G251" s="191">
        <v>12000.0</v>
      </c>
      <c r="H251" s="190">
        <f>'PAINEL DE CONTROLE'!$J$5</f>
        <v>6544</v>
      </c>
      <c r="I251" s="190">
        <v>0.0</v>
      </c>
      <c r="J251" s="190">
        <f t="shared" si="3"/>
        <v>12000</v>
      </c>
      <c r="K251" s="190">
        <f t="shared" si="4"/>
        <v>5456</v>
      </c>
      <c r="L251" s="60"/>
      <c r="M251" s="31"/>
      <c r="N251" s="61"/>
      <c r="O251" s="60"/>
      <c r="P251" s="31"/>
      <c r="Q251" s="61"/>
      <c r="R251" s="60"/>
      <c r="S251" s="31"/>
      <c r="T251" s="61"/>
      <c r="U251" s="60"/>
      <c r="V251" s="31"/>
      <c r="W251" s="61"/>
      <c r="X251" s="60"/>
      <c r="Y251" s="31"/>
      <c r="Z251" s="61"/>
      <c r="AA251" s="60"/>
      <c r="AB251" s="31"/>
      <c r="AC251" s="61"/>
      <c r="AD251" s="60"/>
      <c r="AE251" s="31"/>
      <c r="AF251" s="61"/>
      <c r="AG251" s="60"/>
      <c r="AH251" s="31"/>
      <c r="AI251" s="61"/>
      <c r="AJ251" s="60"/>
      <c r="AK251" s="31"/>
      <c r="AL251" s="61"/>
      <c r="AM251" s="60"/>
      <c r="AN251" s="31"/>
      <c r="AO251" s="61"/>
      <c r="AP251" s="60"/>
      <c r="AQ251" s="31"/>
      <c r="AR251" s="61"/>
      <c r="AS251" s="60"/>
      <c r="AT251" s="31"/>
      <c r="AU251" s="61"/>
    </row>
    <row r="252" ht="36.75" customHeight="1">
      <c r="A252" s="62"/>
      <c r="B252" s="156"/>
      <c r="C252" s="105" t="str">
        <f>VLOOKUP(D252,[1]Saldo!A250:B31523,2,0)</f>
        <v>#ERROR!</v>
      </c>
      <c r="D252" s="156" t="s">
        <v>948</v>
      </c>
      <c r="E252" s="156" t="s">
        <v>742</v>
      </c>
      <c r="F252" s="189">
        <v>1.0</v>
      </c>
      <c r="G252" s="191">
        <v>12000.0</v>
      </c>
      <c r="H252" s="190">
        <f>'PAINEL DE CONTROLE'!$J$5</f>
        <v>6544</v>
      </c>
      <c r="I252" s="190">
        <v>0.0</v>
      </c>
      <c r="J252" s="190">
        <f t="shared" si="3"/>
        <v>12000</v>
      </c>
      <c r="K252" s="190">
        <f t="shared" si="4"/>
        <v>5456</v>
      </c>
      <c r="L252" s="60"/>
      <c r="M252" s="31"/>
      <c r="N252" s="61"/>
      <c r="O252" s="60"/>
      <c r="P252" s="31"/>
      <c r="Q252" s="61"/>
      <c r="R252" s="60"/>
      <c r="S252" s="31"/>
      <c r="T252" s="61"/>
      <c r="U252" s="60"/>
      <c r="V252" s="31"/>
      <c r="W252" s="61"/>
      <c r="X252" s="60"/>
      <c r="Y252" s="31"/>
      <c r="Z252" s="61"/>
      <c r="AA252" s="60"/>
      <c r="AB252" s="31"/>
      <c r="AC252" s="61"/>
      <c r="AD252" s="60"/>
      <c r="AE252" s="31"/>
      <c r="AF252" s="61"/>
      <c r="AG252" s="60"/>
      <c r="AH252" s="31"/>
      <c r="AI252" s="61"/>
      <c r="AJ252" s="60"/>
      <c r="AK252" s="31"/>
      <c r="AL252" s="61"/>
      <c r="AM252" s="60"/>
      <c r="AN252" s="31"/>
      <c r="AO252" s="61"/>
      <c r="AP252" s="60"/>
      <c r="AQ252" s="31"/>
      <c r="AR252" s="61"/>
      <c r="AS252" s="60"/>
      <c r="AT252" s="31"/>
      <c r="AU252" s="61"/>
    </row>
    <row r="253" ht="36.75" customHeight="1">
      <c r="A253" s="63"/>
      <c r="B253" s="156"/>
      <c r="C253" s="105" t="str">
        <f>VLOOKUP(D253,[1]Saldo!A251:B31524,2,0)</f>
        <v>#ERROR!</v>
      </c>
      <c r="D253" s="156" t="s">
        <v>949</v>
      </c>
      <c r="E253" s="156" t="s">
        <v>742</v>
      </c>
      <c r="F253" s="189">
        <v>1.0</v>
      </c>
      <c r="G253" s="191">
        <v>12000.0</v>
      </c>
      <c r="H253" s="190">
        <f>'PAINEL DE CONTROLE'!$J$5</f>
        <v>6544</v>
      </c>
      <c r="I253" s="190">
        <v>0.0</v>
      </c>
      <c r="J253" s="190">
        <f t="shared" si="3"/>
        <v>12000</v>
      </c>
      <c r="K253" s="190">
        <f t="shared" si="4"/>
        <v>5456</v>
      </c>
      <c r="L253" s="60"/>
      <c r="M253" s="31"/>
      <c r="N253" s="61"/>
      <c r="O253" s="60"/>
      <c r="P253" s="31"/>
      <c r="Q253" s="61"/>
      <c r="R253" s="60"/>
      <c r="S253" s="31"/>
      <c r="T253" s="61"/>
      <c r="U253" s="60"/>
      <c r="V253" s="31"/>
      <c r="W253" s="61"/>
      <c r="X253" s="60"/>
      <c r="Y253" s="31"/>
      <c r="Z253" s="61"/>
      <c r="AA253" s="60"/>
      <c r="AB253" s="31"/>
      <c r="AC253" s="61"/>
      <c r="AD253" s="60"/>
      <c r="AE253" s="31"/>
      <c r="AF253" s="61"/>
      <c r="AG253" s="60"/>
      <c r="AH253" s="31"/>
      <c r="AI253" s="61"/>
      <c r="AJ253" s="60"/>
      <c r="AK253" s="31"/>
      <c r="AL253" s="61"/>
      <c r="AM253" s="60"/>
      <c r="AN253" s="31"/>
      <c r="AO253" s="61"/>
      <c r="AP253" s="60"/>
      <c r="AQ253" s="31"/>
      <c r="AR253" s="61"/>
      <c r="AS253" s="60"/>
      <c r="AT253" s="31"/>
      <c r="AU253" s="61"/>
    </row>
    <row r="254" ht="36.75" customHeight="1">
      <c r="A254" s="156" t="s">
        <v>65</v>
      </c>
      <c r="B254" s="156"/>
      <c r="C254" s="105" t="str">
        <f>VLOOKUP(D254,[1]Saldo!A252:B31525,2,0)</f>
        <v>#ERROR!</v>
      </c>
      <c r="D254" s="156" t="s">
        <v>950</v>
      </c>
      <c r="E254" s="156" t="s">
        <v>951</v>
      </c>
      <c r="F254" s="189">
        <v>2.0</v>
      </c>
      <c r="G254" s="191">
        <v>5000.0</v>
      </c>
      <c r="H254" s="190">
        <f>'PAINEL DE CONTROLE'!$J$5</f>
        <v>6544</v>
      </c>
      <c r="I254" s="190">
        <v>0.0</v>
      </c>
      <c r="J254" s="190">
        <f t="shared" si="3"/>
        <v>5000</v>
      </c>
      <c r="K254" s="190">
        <f t="shared" si="4"/>
        <v>-1544</v>
      </c>
      <c r="L254" s="60"/>
      <c r="M254" s="31"/>
      <c r="N254" s="61"/>
      <c r="O254" s="60"/>
      <c r="P254" s="31"/>
      <c r="Q254" s="61"/>
      <c r="R254" s="60"/>
      <c r="S254" s="31"/>
      <c r="T254" s="61"/>
      <c r="U254" s="60"/>
      <c r="V254" s="31"/>
      <c r="W254" s="61"/>
      <c r="X254" s="60"/>
      <c r="Y254" s="31"/>
      <c r="Z254" s="61"/>
      <c r="AA254" s="60"/>
      <c r="AB254" s="31"/>
      <c r="AC254" s="61"/>
      <c r="AD254" s="60"/>
      <c r="AE254" s="31"/>
      <c r="AF254" s="61"/>
      <c r="AG254" s="60"/>
      <c r="AH254" s="31"/>
      <c r="AI254" s="61"/>
      <c r="AJ254" s="60"/>
      <c r="AK254" s="31"/>
      <c r="AL254" s="61"/>
      <c r="AM254" s="60"/>
      <c r="AN254" s="31"/>
      <c r="AO254" s="61"/>
      <c r="AP254" s="60"/>
      <c r="AQ254" s="31"/>
      <c r="AR254" s="61"/>
      <c r="AS254" s="60"/>
      <c r="AT254" s="31"/>
      <c r="AU254" s="61"/>
    </row>
    <row r="255" ht="36.75" customHeight="1">
      <c r="A255" s="147" t="s">
        <v>66</v>
      </c>
      <c r="B255" s="156"/>
      <c r="C255" s="105" t="str">
        <f>VLOOKUP(D255,[1]Saldo!A253:B31526,2,0)</f>
        <v>#ERROR!</v>
      </c>
      <c r="D255" s="156" t="s">
        <v>952</v>
      </c>
      <c r="E255" s="156" t="s">
        <v>953</v>
      </c>
      <c r="F255" s="189">
        <v>8.0</v>
      </c>
      <c r="G255" s="191">
        <v>12000.0</v>
      </c>
      <c r="H255" s="190">
        <f>'PAINEL DE CONTROLE'!$J$5</f>
        <v>6544</v>
      </c>
      <c r="I255" s="190">
        <v>0.0</v>
      </c>
      <c r="J255" s="190">
        <f t="shared" si="3"/>
        <v>12000</v>
      </c>
      <c r="K255" s="190">
        <f t="shared" si="4"/>
        <v>5456</v>
      </c>
      <c r="L255" s="60"/>
      <c r="M255" s="31"/>
      <c r="N255" s="61"/>
      <c r="O255" s="60"/>
      <c r="P255" s="31"/>
      <c r="Q255" s="61"/>
      <c r="R255" s="60"/>
      <c r="S255" s="31"/>
      <c r="T255" s="61"/>
      <c r="U255" s="60"/>
      <c r="V255" s="31"/>
      <c r="W255" s="61"/>
      <c r="X255" s="60"/>
      <c r="Y255" s="31"/>
      <c r="Z255" s="61"/>
      <c r="AA255" s="60"/>
      <c r="AB255" s="31"/>
      <c r="AC255" s="61"/>
      <c r="AD255" s="60"/>
      <c r="AE255" s="31"/>
      <c r="AF255" s="61"/>
      <c r="AG255" s="60"/>
      <c r="AH255" s="31"/>
      <c r="AI255" s="61"/>
      <c r="AJ255" s="60"/>
      <c r="AK255" s="31"/>
      <c r="AL255" s="61"/>
      <c r="AM255" s="60"/>
      <c r="AN255" s="31"/>
      <c r="AO255" s="61"/>
      <c r="AP255" s="60"/>
      <c r="AQ255" s="31"/>
      <c r="AR255" s="61"/>
      <c r="AS255" s="60"/>
      <c r="AT255" s="31"/>
      <c r="AU255" s="61"/>
    </row>
    <row r="256" ht="36.75" customHeight="1">
      <c r="A256" s="62"/>
      <c r="B256" s="156"/>
      <c r="C256" s="105" t="str">
        <f>VLOOKUP(D256,[1]Saldo!A254:B31527,2,0)</f>
        <v>#ERROR!</v>
      </c>
      <c r="D256" s="156" t="s">
        <v>954</v>
      </c>
      <c r="E256" s="156" t="s">
        <v>955</v>
      </c>
      <c r="F256" s="189">
        <v>2.0</v>
      </c>
      <c r="G256" s="191">
        <v>12000.0</v>
      </c>
      <c r="H256" s="190">
        <f>'PAINEL DE CONTROLE'!$J$5</f>
        <v>6544</v>
      </c>
      <c r="I256" s="190">
        <v>0.0</v>
      </c>
      <c r="J256" s="190">
        <f t="shared" si="3"/>
        <v>12000</v>
      </c>
      <c r="K256" s="190">
        <f t="shared" si="4"/>
        <v>5456</v>
      </c>
      <c r="L256" s="60"/>
      <c r="M256" s="31"/>
      <c r="N256" s="61"/>
      <c r="O256" s="60"/>
      <c r="P256" s="31"/>
      <c r="Q256" s="61"/>
      <c r="R256" s="60"/>
      <c r="S256" s="31"/>
      <c r="T256" s="61"/>
      <c r="U256" s="60"/>
      <c r="V256" s="31"/>
      <c r="W256" s="61"/>
      <c r="X256" s="60"/>
      <c r="Y256" s="31"/>
      <c r="Z256" s="61"/>
      <c r="AA256" s="60"/>
      <c r="AB256" s="31"/>
      <c r="AC256" s="61"/>
      <c r="AD256" s="60"/>
      <c r="AE256" s="31"/>
      <c r="AF256" s="61"/>
      <c r="AG256" s="60"/>
      <c r="AH256" s="31"/>
      <c r="AI256" s="61"/>
      <c r="AJ256" s="60"/>
      <c r="AK256" s="31"/>
      <c r="AL256" s="61"/>
      <c r="AM256" s="60"/>
      <c r="AN256" s="31"/>
      <c r="AO256" s="61"/>
      <c r="AP256" s="60"/>
      <c r="AQ256" s="31"/>
      <c r="AR256" s="61"/>
      <c r="AS256" s="60"/>
      <c r="AT256" s="31"/>
      <c r="AU256" s="61"/>
    </row>
    <row r="257" ht="36.75" customHeight="1">
      <c r="A257" s="62"/>
      <c r="B257" s="156"/>
      <c r="C257" s="105" t="str">
        <f>VLOOKUP(D257,[1]Saldo!A255:B31528,2,0)</f>
        <v>#ERROR!</v>
      </c>
      <c r="D257" s="156" t="s">
        <v>956</v>
      </c>
      <c r="E257" s="156" t="s">
        <v>957</v>
      </c>
      <c r="F257" s="189">
        <v>4.0</v>
      </c>
      <c r="G257" s="191">
        <v>12000.0</v>
      </c>
      <c r="H257" s="190">
        <f>'PAINEL DE CONTROLE'!$J$5</f>
        <v>6544</v>
      </c>
      <c r="I257" s="190">
        <v>0.0</v>
      </c>
      <c r="J257" s="190">
        <f t="shared" si="3"/>
        <v>12000</v>
      </c>
      <c r="K257" s="190">
        <f t="shared" si="4"/>
        <v>5456</v>
      </c>
      <c r="L257" s="60"/>
      <c r="M257" s="31"/>
      <c r="N257" s="61"/>
      <c r="O257" s="60"/>
      <c r="P257" s="31"/>
      <c r="Q257" s="61"/>
      <c r="R257" s="60"/>
      <c r="S257" s="31"/>
      <c r="T257" s="61"/>
      <c r="U257" s="60"/>
      <c r="V257" s="31"/>
      <c r="W257" s="61"/>
      <c r="X257" s="60"/>
      <c r="Y257" s="31"/>
      <c r="Z257" s="61"/>
      <c r="AA257" s="60"/>
      <c r="AB257" s="31"/>
      <c r="AC257" s="61"/>
      <c r="AD257" s="60"/>
      <c r="AE257" s="31"/>
      <c r="AF257" s="61"/>
      <c r="AG257" s="60"/>
      <c r="AH257" s="31"/>
      <c r="AI257" s="61"/>
      <c r="AJ257" s="60"/>
      <c r="AK257" s="31"/>
      <c r="AL257" s="61"/>
      <c r="AM257" s="60"/>
      <c r="AN257" s="31"/>
      <c r="AO257" s="61"/>
      <c r="AP257" s="60"/>
      <c r="AQ257" s="31"/>
      <c r="AR257" s="61"/>
      <c r="AS257" s="60"/>
      <c r="AT257" s="31"/>
      <c r="AU257" s="61"/>
    </row>
    <row r="258" ht="36.75" customHeight="1">
      <c r="A258" s="62"/>
      <c r="B258" s="156"/>
      <c r="C258" s="105" t="str">
        <f>VLOOKUP(D258,[1]Saldo!A256:B31529,2,0)</f>
        <v>#ERROR!</v>
      </c>
      <c r="D258" s="156" t="s">
        <v>958</v>
      </c>
      <c r="E258" s="156" t="s">
        <v>959</v>
      </c>
      <c r="F258" s="189">
        <v>8.0</v>
      </c>
      <c r="G258" s="191">
        <v>12000.0</v>
      </c>
      <c r="H258" s="190">
        <f>'PAINEL DE CONTROLE'!$J$5</f>
        <v>6544</v>
      </c>
      <c r="I258" s="190">
        <v>0.0</v>
      </c>
      <c r="J258" s="190">
        <f t="shared" si="3"/>
        <v>12000</v>
      </c>
      <c r="K258" s="190">
        <f t="shared" si="4"/>
        <v>5456</v>
      </c>
      <c r="L258" s="60"/>
      <c r="M258" s="31"/>
      <c r="N258" s="61"/>
      <c r="O258" s="60"/>
      <c r="P258" s="31"/>
      <c r="Q258" s="61"/>
      <c r="R258" s="60"/>
      <c r="S258" s="31"/>
      <c r="T258" s="61"/>
      <c r="U258" s="60"/>
      <c r="V258" s="31"/>
      <c r="W258" s="61"/>
      <c r="X258" s="60"/>
      <c r="Y258" s="31"/>
      <c r="Z258" s="61"/>
      <c r="AA258" s="60"/>
      <c r="AB258" s="31"/>
      <c r="AC258" s="61"/>
      <c r="AD258" s="60"/>
      <c r="AE258" s="31"/>
      <c r="AF258" s="61"/>
      <c r="AG258" s="60"/>
      <c r="AH258" s="31"/>
      <c r="AI258" s="61"/>
      <c r="AJ258" s="60"/>
      <c r="AK258" s="31"/>
      <c r="AL258" s="61"/>
      <c r="AM258" s="60"/>
      <c r="AN258" s="31"/>
      <c r="AO258" s="61"/>
      <c r="AP258" s="60"/>
      <c r="AQ258" s="31"/>
      <c r="AR258" s="61"/>
      <c r="AS258" s="60"/>
      <c r="AT258" s="31"/>
      <c r="AU258" s="61"/>
    </row>
    <row r="259" ht="36.75" customHeight="1">
      <c r="A259" s="63"/>
      <c r="B259" s="156"/>
      <c r="C259" s="105" t="str">
        <f>VLOOKUP(D259,[1]Saldo!A257:B31530,2,0)</f>
        <v>#ERROR!</v>
      </c>
      <c r="D259" s="156" t="s">
        <v>960</v>
      </c>
      <c r="E259" s="156" t="s">
        <v>961</v>
      </c>
      <c r="F259" s="189">
        <v>2.0</v>
      </c>
      <c r="G259" s="191">
        <v>12000.0</v>
      </c>
      <c r="H259" s="190">
        <f>'PAINEL DE CONTROLE'!$J$5</f>
        <v>6544</v>
      </c>
      <c r="I259" s="190">
        <v>0.0</v>
      </c>
      <c r="J259" s="190">
        <f t="shared" si="3"/>
        <v>12000</v>
      </c>
      <c r="K259" s="190">
        <f t="shared" si="4"/>
        <v>5456</v>
      </c>
      <c r="L259" s="60"/>
      <c r="M259" s="31"/>
      <c r="N259" s="61"/>
      <c r="O259" s="60"/>
      <c r="P259" s="31"/>
      <c r="Q259" s="61"/>
      <c r="R259" s="60"/>
      <c r="S259" s="31"/>
      <c r="T259" s="61"/>
      <c r="U259" s="60"/>
      <c r="V259" s="31"/>
      <c r="W259" s="61"/>
      <c r="X259" s="60"/>
      <c r="Y259" s="31"/>
      <c r="Z259" s="61"/>
      <c r="AA259" s="60"/>
      <c r="AB259" s="31"/>
      <c r="AC259" s="61"/>
      <c r="AD259" s="60"/>
      <c r="AE259" s="31"/>
      <c r="AF259" s="61"/>
      <c r="AG259" s="60"/>
      <c r="AH259" s="31"/>
      <c r="AI259" s="61"/>
      <c r="AJ259" s="60"/>
      <c r="AK259" s="31"/>
      <c r="AL259" s="61"/>
      <c r="AM259" s="60"/>
      <c r="AN259" s="31"/>
      <c r="AO259" s="61"/>
      <c r="AP259" s="60"/>
      <c r="AQ259" s="31"/>
      <c r="AR259" s="61"/>
      <c r="AS259" s="60"/>
      <c r="AT259" s="31"/>
      <c r="AU259" s="61"/>
    </row>
    <row r="260" ht="36.75" customHeight="1">
      <c r="A260" s="147" t="s">
        <v>66</v>
      </c>
      <c r="B260" s="156"/>
      <c r="C260" s="105" t="str">
        <f>VLOOKUP(D260,[1]Saldo!A258:B31531,2,0)</f>
        <v>#ERROR!</v>
      </c>
      <c r="D260" s="156" t="s">
        <v>962</v>
      </c>
      <c r="E260" s="156" t="s">
        <v>750</v>
      </c>
      <c r="F260" s="189">
        <v>2.0</v>
      </c>
      <c r="G260" s="191">
        <v>12000.0</v>
      </c>
      <c r="H260" s="190">
        <f>'PAINEL DE CONTROLE'!$J$5</f>
        <v>6544</v>
      </c>
      <c r="I260" s="190">
        <v>0.0</v>
      </c>
      <c r="J260" s="190">
        <f t="shared" si="3"/>
        <v>12000</v>
      </c>
      <c r="K260" s="190">
        <f t="shared" si="4"/>
        <v>5456</v>
      </c>
      <c r="L260" s="60"/>
      <c r="M260" s="31"/>
      <c r="N260" s="61"/>
      <c r="O260" s="60"/>
      <c r="P260" s="31"/>
      <c r="Q260" s="61"/>
      <c r="R260" s="60"/>
      <c r="S260" s="31"/>
      <c r="T260" s="61"/>
      <c r="U260" s="60"/>
      <c r="V260" s="31"/>
      <c r="W260" s="61"/>
      <c r="X260" s="60"/>
      <c r="Y260" s="31"/>
      <c r="Z260" s="61"/>
      <c r="AA260" s="60"/>
      <c r="AB260" s="31"/>
      <c r="AC260" s="61"/>
      <c r="AD260" s="60"/>
      <c r="AE260" s="31"/>
      <c r="AF260" s="61"/>
      <c r="AG260" s="60"/>
      <c r="AH260" s="31"/>
      <c r="AI260" s="61"/>
      <c r="AJ260" s="60"/>
      <c r="AK260" s="31"/>
      <c r="AL260" s="61"/>
      <c r="AM260" s="60"/>
      <c r="AN260" s="31"/>
      <c r="AO260" s="61"/>
      <c r="AP260" s="60"/>
      <c r="AQ260" s="31"/>
      <c r="AR260" s="61"/>
      <c r="AS260" s="60"/>
      <c r="AT260" s="31"/>
      <c r="AU260" s="61"/>
    </row>
    <row r="261" ht="36.75" customHeight="1">
      <c r="A261" s="62"/>
      <c r="B261" s="156"/>
      <c r="C261" s="105" t="str">
        <f>VLOOKUP(D261,[1]Saldo!A259:B31532,2,0)</f>
        <v>#ERROR!</v>
      </c>
      <c r="D261" s="156" t="s">
        <v>963</v>
      </c>
      <c r="E261" s="156" t="s">
        <v>752</v>
      </c>
      <c r="F261" s="189">
        <v>2.0</v>
      </c>
      <c r="G261" s="191">
        <v>12000.0</v>
      </c>
      <c r="H261" s="190">
        <f>'PAINEL DE CONTROLE'!$J$5</f>
        <v>6544</v>
      </c>
      <c r="I261" s="190">
        <v>0.0</v>
      </c>
      <c r="J261" s="190">
        <f t="shared" si="3"/>
        <v>12000</v>
      </c>
      <c r="K261" s="190">
        <f t="shared" si="4"/>
        <v>5456</v>
      </c>
      <c r="L261" s="60"/>
      <c r="M261" s="31"/>
      <c r="N261" s="61"/>
      <c r="O261" s="60"/>
      <c r="P261" s="31"/>
      <c r="Q261" s="61"/>
      <c r="R261" s="60"/>
      <c r="S261" s="31"/>
      <c r="T261" s="61"/>
      <c r="U261" s="60"/>
      <c r="V261" s="31"/>
      <c r="W261" s="61"/>
      <c r="X261" s="60"/>
      <c r="Y261" s="31"/>
      <c r="Z261" s="61"/>
      <c r="AA261" s="60"/>
      <c r="AB261" s="31"/>
      <c r="AC261" s="61"/>
      <c r="AD261" s="60"/>
      <c r="AE261" s="31"/>
      <c r="AF261" s="61"/>
      <c r="AG261" s="60"/>
      <c r="AH261" s="31"/>
      <c r="AI261" s="61"/>
      <c r="AJ261" s="60"/>
      <c r="AK261" s="31"/>
      <c r="AL261" s="61"/>
      <c r="AM261" s="60"/>
      <c r="AN261" s="31"/>
      <c r="AO261" s="61"/>
      <c r="AP261" s="60"/>
      <c r="AQ261" s="31"/>
      <c r="AR261" s="61"/>
      <c r="AS261" s="60"/>
      <c r="AT261" s="31"/>
      <c r="AU261" s="61"/>
    </row>
    <row r="262" ht="36.75" customHeight="1">
      <c r="A262" s="62"/>
      <c r="B262" s="156"/>
      <c r="C262" s="105" t="str">
        <f>VLOOKUP(D262,[1]Saldo!A260:B31533,2,0)</f>
        <v>#ERROR!</v>
      </c>
      <c r="D262" s="156" t="s">
        <v>964</v>
      </c>
      <c r="E262" s="156" t="s">
        <v>787</v>
      </c>
      <c r="F262" s="189">
        <v>2.0</v>
      </c>
      <c r="G262" s="191">
        <v>12000.0</v>
      </c>
      <c r="H262" s="190">
        <f>'PAINEL DE CONTROLE'!$J$5</f>
        <v>6544</v>
      </c>
      <c r="I262" s="190">
        <v>0.0</v>
      </c>
      <c r="J262" s="190">
        <f t="shared" si="3"/>
        <v>12000</v>
      </c>
      <c r="K262" s="190">
        <f t="shared" si="4"/>
        <v>5456</v>
      </c>
      <c r="L262" s="60"/>
      <c r="M262" s="31"/>
      <c r="N262" s="61"/>
      <c r="O262" s="60"/>
      <c r="P262" s="31"/>
      <c r="Q262" s="61"/>
      <c r="R262" s="60"/>
      <c r="S262" s="31"/>
      <c r="T262" s="61"/>
      <c r="U262" s="60"/>
      <c r="V262" s="31"/>
      <c r="W262" s="61"/>
      <c r="X262" s="60"/>
      <c r="Y262" s="31"/>
      <c r="Z262" s="61"/>
      <c r="AA262" s="60"/>
      <c r="AB262" s="31"/>
      <c r="AC262" s="61"/>
      <c r="AD262" s="60"/>
      <c r="AE262" s="31"/>
      <c r="AF262" s="61"/>
      <c r="AG262" s="60"/>
      <c r="AH262" s="31"/>
      <c r="AI262" s="61"/>
      <c r="AJ262" s="60"/>
      <c r="AK262" s="31"/>
      <c r="AL262" s="61"/>
      <c r="AM262" s="60"/>
      <c r="AN262" s="31"/>
      <c r="AO262" s="61"/>
      <c r="AP262" s="60"/>
      <c r="AQ262" s="31"/>
      <c r="AR262" s="61"/>
      <c r="AS262" s="60"/>
      <c r="AT262" s="31"/>
      <c r="AU262" s="61"/>
    </row>
    <row r="263" ht="36.75" customHeight="1">
      <c r="A263" s="62"/>
      <c r="B263" s="156"/>
      <c r="C263" s="105" t="str">
        <f>VLOOKUP(D263,[1]Saldo!A261:B31534,2,0)</f>
        <v>#ERROR!</v>
      </c>
      <c r="D263" s="156" t="s">
        <v>965</v>
      </c>
      <c r="E263" s="156" t="s">
        <v>686</v>
      </c>
      <c r="F263" s="189">
        <v>2.0</v>
      </c>
      <c r="G263" s="191">
        <v>12000.0</v>
      </c>
      <c r="H263" s="190">
        <f>'PAINEL DE CONTROLE'!$J$5</f>
        <v>6544</v>
      </c>
      <c r="I263" s="190">
        <v>0.0</v>
      </c>
      <c r="J263" s="190">
        <f t="shared" si="3"/>
        <v>12000</v>
      </c>
      <c r="K263" s="190">
        <f t="shared" si="4"/>
        <v>5456</v>
      </c>
      <c r="L263" s="60"/>
      <c r="M263" s="31"/>
      <c r="N263" s="61"/>
      <c r="O263" s="60"/>
      <c r="P263" s="31"/>
      <c r="Q263" s="61"/>
      <c r="R263" s="60"/>
      <c r="S263" s="31"/>
      <c r="T263" s="61"/>
      <c r="U263" s="60"/>
      <c r="V263" s="31"/>
      <c r="W263" s="61"/>
      <c r="X263" s="60"/>
      <c r="Y263" s="31"/>
      <c r="Z263" s="61"/>
      <c r="AA263" s="60"/>
      <c r="AB263" s="31"/>
      <c r="AC263" s="61"/>
      <c r="AD263" s="60"/>
      <c r="AE263" s="31"/>
      <c r="AF263" s="61"/>
      <c r="AG263" s="60"/>
      <c r="AH263" s="31"/>
      <c r="AI263" s="61"/>
      <c r="AJ263" s="60"/>
      <c r="AK263" s="31"/>
      <c r="AL263" s="61"/>
      <c r="AM263" s="60"/>
      <c r="AN263" s="31"/>
      <c r="AO263" s="61"/>
      <c r="AP263" s="60"/>
      <c r="AQ263" s="31"/>
      <c r="AR263" s="61"/>
      <c r="AS263" s="60"/>
      <c r="AT263" s="31"/>
      <c r="AU263" s="61"/>
    </row>
    <row r="264" ht="36.75" customHeight="1">
      <c r="A264" s="62"/>
      <c r="B264" s="156"/>
      <c r="C264" s="105" t="str">
        <f>VLOOKUP(D264,[1]Saldo!A262:B31535,2,0)</f>
        <v>#ERROR!</v>
      </c>
      <c r="D264" s="156" t="s">
        <v>966</v>
      </c>
      <c r="E264" s="156" t="s">
        <v>750</v>
      </c>
      <c r="F264" s="189">
        <v>2.0</v>
      </c>
      <c r="G264" s="191">
        <v>12000.0</v>
      </c>
      <c r="H264" s="190">
        <f>'PAINEL DE CONTROLE'!$J$5</f>
        <v>6544</v>
      </c>
      <c r="I264" s="190">
        <v>0.0</v>
      </c>
      <c r="J264" s="190">
        <f t="shared" si="3"/>
        <v>12000</v>
      </c>
      <c r="K264" s="190">
        <f t="shared" si="4"/>
        <v>5456</v>
      </c>
      <c r="L264" s="60"/>
      <c r="M264" s="31"/>
      <c r="N264" s="61"/>
      <c r="O264" s="60"/>
      <c r="P264" s="31"/>
      <c r="Q264" s="61"/>
      <c r="R264" s="60"/>
      <c r="S264" s="31"/>
      <c r="T264" s="61"/>
      <c r="U264" s="60"/>
      <c r="V264" s="31"/>
      <c r="W264" s="61"/>
      <c r="X264" s="60"/>
      <c r="Y264" s="31"/>
      <c r="Z264" s="61"/>
      <c r="AA264" s="60"/>
      <c r="AB264" s="31"/>
      <c r="AC264" s="61"/>
      <c r="AD264" s="60"/>
      <c r="AE264" s="31"/>
      <c r="AF264" s="61"/>
      <c r="AG264" s="60"/>
      <c r="AH264" s="31"/>
      <c r="AI264" s="61"/>
      <c r="AJ264" s="60"/>
      <c r="AK264" s="31"/>
      <c r="AL264" s="61"/>
      <c r="AM264" s="60"/>
      <c r="AN264" s="31"/>
      <c r="AO264" s="61"/>
      <c r="AP264" s="60"/>
      <c r="AQ264" s="31"/>
      <c r="AR264" s="61"/>
      <c r="AS264" s="60"/>
      <c r="AT264" s="31"/>
      <c r="AU264" s="61"/>
    </row>
    <row r="265" ht="36.75" customHeight="1">
      <c r="A265" s="62"/>
      <c r="B265" s="156"/>
      <c r="C265" s="105" t="str">
        <f>VLOOKUP(D265,[1]Saldo!A263:B31536,2,0)</f>
        <v>#ERROR!</v>
      </c>
      <c r="D265" s="156" t="s">
        <v>967</v>
      </c>
      <c r="E265" s="156" t="s">
        <v>742</v>
      </c>
      <c r="F265" s="189">
        <v>4.0</v>
      </c>
      <c r="G265" s="191">
        <v>12000.0</v>
      </c>
      <c r="H265" s="190">
        <f>'PAINEL DE CONTROLE'!$J$5</f>
        <v>6544</v>
      </c>
      <c r="I265" s="190">
        <v>0.0</v>
      </c>
      <c r="J265" s="190">
        <f t="shared" si="3"/>
        <v>12000</v>
      </c>
      <c r="K265" s="190">
        <f t="shared" si="4"/>
        <v>5456</v>
      </c>
      <c r="L265" s="60"/>
      <c r="M265" s="31"/>
      <c r="N265" s="61"/>
      <c r="O265" s="60"/>
      <c r="P265" s="31"/>
      <c r="Q265" s="61"/>
      <c r="R265" s="60"/>
      <c r="S265" s="31"/>
      <c r="T265" s="61"/>
      <c r="U265" s="60"/>
      <c r="V265" s="31"/>
      <c r="W265" s="61"/>
      <c r="X265" s="60"/>
      <c r="Y265" s="31"/>
      <c r="Z265" s="61"/>
      <c r="AA265" s="60"/>
      <c r="AB265" s="31"/>
      <c r="AC265" s="61"/>
      <c r="AD265" s="60"/>
      <c r="AE265" s="31"/>
      <c r="AF265" s="61"/>
      <c r="AG265" s="60"/>
      <c r="AH265" s="31"/>
      <c r="AI265" s="61"/>
      <c r="AJ265" s="60"/>
      <c r="AK265" s="31"/>
      <c r="AL265" s="61"/>
      <c r="AM265" s="60"/>
      <c r="AN265" s="31"/>
      <c r="AO265" s="61"/>
      <c r="AP265" s="60"/>
      <c r="AQ265" s="31"/>
      <c r="AR265" s="61"/>
      <c r="AS265" s="60"/>
      <c r="AT265" s="31"/>
      <c r="AU265" s="61"/>
    </row>
    <row r="266" ht="36.75" customHeight="1">
      <c r="A266" s="62"/>
      <c r="B266" s="156"/>
      <c r="C266" s="105" t="str">
        <f>VLOOKUP(D266,[1]Saldo!A264:B31537,2,0)</f>
        <v>#ERROR!</v>
      </c>
      <c r="D266" s="156" t="s">
        <v>968</v>
      </c>
      <c r="E266" s="156" t="s">
        <v>969</v>
      </c>
      <c r="F266" s="189">
        <v>2.0</v>
      </c>
      <c r="G266" s="191">
        <v>12000.0</v>
      </c>
      <c r="H266" s="190">
        <f>'PAINEL DE CONTROLE'!$J$5</f>
        <v>6544</v>
      </c>
      <c r="I266" s="190">
        <v>0.0</v>
      </c>
      <c r="J266" s="190">
        <f t="shared" si="3"/>
        <v>12000</v>
      </c>
      <c r="K266" s="190">
        <f t="shared" si="4"/>
        <v>5456</v>
      </c>
      <c r="L266" s="60"/>
      <c r="M266" s="31"/>
      <c r="N266" s="61"/>
      <c r="O266" s="60"/>
      <c r="P266" s="31"/>
      <c r="Q266" s="61"/>
      <c r="R266" s="60"/>
      <c r="S266" s="31"/>
      <c r="T266" s="61"/>
      <c r="U266" s="60"/>
      <c r="V266" s="31"/>
      <c r="W266" s="61"/>
      <c r="X266" s="60"/>
      <c r="Y266" s="31"/>
      <c r="Z266" s="61"/>
      <c r="AA266" s="60"/>
      <c r="AB266" s="31"/>
      <c r="AC266" s="61"/>
      <c r="AD266" s="60"/>
      <c r="AE266" s="31"/>
      <c r="AF266" s="61"/>
      <c r="AG266" s="60"/>
      <c r="AH266" s="31"/>
      <c r="AI266" s="61"/>
      <c r="AJ266" s="60"/>
      <c r="AK266" s="31"/>
      <c r="AL266" s="61"/>
      <c r="AM266" s="60"/>
      <c r="AN266" s="31"/>
      <c r="AO266" s="61"/>
      <c r="AP266" s="60"/>
      <c r="AQ266" s="31"/>
      <c r="AR266" s="61"/>
      <c r="AS266" s="60"/>
      <c r="AT266" s="31"/>
      <c r="AU266" s="61"/>
    </row>
    <row r="267" ht="36.75" customHeight="1">
      <c r="A267" s="62"/>
      <c r="B267" s="156"/>
      <c r="C267" s="105" t="str">
        <f>VLOOKUP(D267,[1]Saldo!A265:B31538,2,0)</f>
        <v>#ERROR!</v>
      </c>
      <c r="D267" s="156" t="s">
        <v>970</v>
      </c>
      <c r="E267" s="156" t="s">
        <v>971</v>
      </c>
      <c r="F267" s="189">
        <v>2.0</v>
      </c>
      <c r="G267" s="191">
        <v>12000.0</v>
      </c>
      <c r="H267" s="190">
        <f>'PAINEL DE CONTROLE'!$J$5</f>
        <v>6544</v>
      </c>
      <c r="I267" s="190">
        <v>0.0</v>
      </c>
      <c r="J267" s="190">
        <f t="shared" si="3"/>
        <v>12000</v>
      </c>
      <c r="K267" s="190">
        <f t="shared" si="4"/>
        <v>5456</v>
      </c>
      <c r="L267" s="60"/>
      <c r="M267" s="31"/>
      <c r="N267" s="61"/>
      <c r="O267" s="60"/>
      <c r="P267" s="31"/>
      <c r="Q267" s="61"/>
      <c r="R267" s="60"/>
      <c r="S267" s="31"/>
      <c r="T267" s="61"/>
      <c r="U267" s="60"/>
      <c r="V267" s="31"/>
      <c r="W267" s="61"/>
      <c r="X267" s="60"/>
      <c r="Y267" s="31"/>
      <c r="Z267" s="61"/>
      <c r="AA267" s="60"/>
      <c r="AB267" s="31"/>
      <c r="AC267" s="61"/>
      <c r="AD267" s="60"/>
      <c r="AE267" s="31"/>
      <c r="AF267" s="61"/>
      <c r="AG267" s="60"/>
      <c r="AH267" s="31"/>
      <c r="AI267" s="61"/>
      <c r="AJ267" s="60"/>
      <c r="AK267" s="31"/>
      <c r="AL267" s="61"/>
      <c r="AM267" s="60"/>
      <c r="AN267" s="31"/>
      <c r="AO267" s="61"/>
      <c r="AP267" s="60"/>
      <c r="AQ267" s="31"/>
      <c r="AR267" s="61"/>
      <c r="AS267" s="60"/>
      <c r="AT267" s="31"/>
      <c r="AU267" s="61"/>
    </row>
    <row r="268" ht="36.75" customHeight="1">
      <c r="A268" s="62"/>
      <c r="B268" s="156"/>
      <c r="C268" s="105" t="str">
        <f>VLOOKUP(D268,[1]Saldo!A266:B31539,2,0)</f>
        <v>#ERROR!</v>
      </c>
      <c r="D268" s="156" t="s">
        <v>972</v>
      </c>
      <c r="E268" s="156" t="s">
        <v>643</v>
      </c>
      <c r="F268" s="189">
        <v>2.0</v>
      </c>
      <c r="G268" s="191">
        <v>12000.0</v>
      </c>
      <c r="H268" s="190">
        <f>'PAINEL DE CONTROLE'!$J$5</f>
        <v>6544</v>
      </c>
      <c r="I268" s="190">
        <v>0.0</v>
      </c>
      <c r="J268" s="190">
        <f t="shared" si="3"/>
        <v>12000</v>
      </c>
      <c r="K268" s="190">
        <f t="shared" si="4"/>
        <v>5456</v>
      </c>
      <c r="L268" s="60"/>
      <c r="M268" s="31"/>
      <c r="N268" s="61"/>
      <c r="O268" s="60"/>
      <c r="P268" s="31"/>
      <c r="Q268" s="61"/>
      <c r="R268" s="60"/>
      <c r="S268" s="31"/>
      <c r="T268" s="61"/>
      <c r="U268" s="60"/>
      <c r="V268" s="31"/>
      <c r="W268" s="61"/>
      <c r="X268" s="60"/>
      <c r="Y268" s="31"/>
      <c r="Z268" s="61"/>
      <c r="AA268" s="60"/>
      <c r="AB268" s="31"/>
      <c r="AC268" s="61"/>
      <c r="AD268" s="60"/>
      <c r="AE268" s="31"/>
      <c r="AF268" s="61"/>
      <c r="AG268" s="60"/>
      <c r="AH268" s="31"/>
      <c r="AI268" s="61"/>
      <c r="AJ268" s="60"/>
      <c r="AK268" s="31"/>
      <c r="AL268" s="61"/>
      <c r="AM268" s="60"/>
      <c r="AN268" s="31"/>
      <c r="AO268" s="61"/>
      <c r="AP268" s="60"/>
      <c r="AQ268" s="31"/>
      <c r="AR268" s="61"/>
      <c r="AS268" s="60"/>
      <c r="AT268" s="31"/>
      <c r="AU268" s="61"/>
    </row>
    <row r="269" ht="36.75" customHeight="1">
      <c r="A269" s="62"/>
      <c r="B269" s="156"/>
      <c r="C269" s="105" t="str">
        <f>VLOOKUP(D269,[1]Saldo!A267:B31540,2,0)</f>
        <v>#ERROR!</v>
      </c>
      <c r="D269" s="156" t="s">
        <v>973</v>
      </c>
      <c r="E269" s="156" t="s">
        <v>974</v>
      </c>
      <c r="F269" s="189">
        <v>2.0</v>
      </c>
      <c r="G269" s="191">
        <v>12000.0</v>
      </c>
      <c r="H269" s="190">
        <f>'PAINEL DE CONTROLE'!$J$5</f>
        <v>6544</v>
      </c>
      <c r="I269" s="190">
        <v>0.0</v>
      </c>
      <c r="J269" s="190">
        <f t="shared" si="3"/>
        <v>12000</v>
      </c>
      <c r="K269" s="190">
        <f t="shared" si="4"/>
        <v>5456</v>
      </c>
      <c r="L269" s="60"/>
      <c r="M269" s="31"/>
      <c r="N269" s="61"/>
      <c r="O269" s="60"/>
      <c r="P269" s="31"/>
      <c r="Q269" s="61"/>
      <c r="R269" s="60"/>
      <c r="S269" s="31"/>
      <c r="T269" s="61"/>
      <c r="U269" s="60"/>
      <c r="V269" s="31"/>
      <c r="W269" s="61"/>
      <c r="X269" s="60"/>
      <c r="Y269" s="31"/>
      <c r="Z269" s="61"/>
      <c r="AA269" s="60"/>
      <c r="AB269" s="31"/>
      <c r="AC269" s="61"/>
      <c r="AD269" s="60"/>
      <c r="AE269" s="31"/>
      <c r="AF269" s="61"/>
      <c r="AG269" s="60"/>
      <c r="AH269" s="31"/>
      <c r="AI269" s="61"/>
      <c r="AJ269" s="60"/>
      <c r="AK269" s="31"/>
      <c r="AL269" s="61"/>
      <c r="AM269" s="60"/>
      <c r="AN269" s="31"/>
      <c r="AO269" s="61"/>
      <c r="AP269" s="60"/>
      <c r="AQ269" s="31"/>
      <c r="AR269" s="61"/>
      <c r="AS269" s="60"/>
      <c r="AT269" s="31"/>
      <c r="AU269" s="61"/>
    </row>
    <row r="270" ht="36.75" customHeight="1">
      <c r="A270" s="62"/>
      <c r="B270" s="156"/>
      <c r="C270" s="105" t="str">
        <f>VLOOKUP(D270,[1]Saldo!A268:B31541,2,0)</f>
        <v>#ERROR!</v>
      </c>
      <c r="D270" s="156" t="s">
        <v>975</v>
      </c>
      <c r="E270" s="156" t="s">
        <v>139</v>
      </c>
      <c r="F270" s="189">
        <v>2.0</v>
      </c>
      <c r="G270" s="191">
        <v>12000.0</v>
      </c>
      <c r="H270" s="190">
        <f>'PAINEL DE CONTROLE'!$J$5</f>
        <v>6544</v>
      </c>
      <c r="I270" s="190">
        <v>0.0</v>
      </c>
      <c r="J270" s="190">
        <f t="shared" si="3"/>
        <v>12000</v>
      </c>
      <c r="K270" s="190">
        <f t="shared" si="4"/>
        <v>5456</v>
      </c>
      <c r="L270" s="60"/>
      <c r="M270" s="31"/>
      <c r="N270" s="61"/>
      <c r="O270" s="60"/>
      <c r="P270" s="31"/>
      <c r="Q270" s="61"/>
      <c r="R270" s="60"/>
      <c r="S270" s="31"/>
      <c r="T270" s="61"/>
      <c r="U270" s="60"/>
      <c r="V270" s="31"/>
      <c r="W270" s="61"/>
      <c r="X270" s="60"/>
      <c r="Y270" s="31"/>
      <c r="Z270" s="61"/>
      <c r="AA270" s="60"/>
      <c r="AB270" s="31"/>
      <c r="AC270" s="61"/>
      <c r="AD270" s="60"/>
      <c r="AE270" s="31"/>
      <c r="AF270" s="61"/>
      <c r="AG270" s="60"/>
      <c r="AH270" s="31"/>
      <c r="AI270" s="61"/>
      <c r="AJ270" s="60"/>
      <c r="AK270" s="31"/>
      <c r="AL270" s="61"/>
      <c r="AM270" s="60"/>
      <c r="AN270" s="31"/>
      <c r="AO270" s="61"/>
      <c r="AP270" s="60"/>
      <c r="AQ270" s="31"/>
      <c r="AR270" s="61"/>
      <c r="AS270" s="60"/>
      <c r="AT270" s="31"/>
      <c r="AU270" s="61"/>
    </row>
    <row r="271" ht="36.75" customHeight="1">
      <c r="A271" s="62"/>
      <c r="B271" s="156"/>
      <c r="C271" s="105" t="str">
        <f>VLOOKUP(D271,[1]Saldo!A269:B31542,2,0)</f>
        <v>#ERROR!</v>
      </c>
      <c r="D271" s="156" t="s">
        <v>976</v>
      </c>
      <c r="E271" s="156" t="s">
        <v>813</v>
      </c>
      <c r="F271" s="189">
        <v>1.0</v>
      </c>
      <c r="G271" s="191">
        <v>12000.0</v>
      </c>
      <c r="H271" s="190">
        <f>'PAINEL DE CONTROLE'!$J$5</f>
        <v>6544</v>
      </c>
      <c r="I271" s="190">
        <v>0.0</v>
      </c>
      <c r="J271" s="190">
        <f t="shared" si="3"/>
        <v>12000</v>
      </c>
      <c r="K271" s="190">
        <f t="shared" si="4"/>
        <v>5456</v>
      </c>
      <c r="L271" s="60"/>
      <c r="M271" s="31"/>
      <c r="N271" s="61"/>
      <c r="O271" s="60"/>
      <c r="P271" s="31"/>
      <c r="Q271" s="61"/>
      <c r="R271" s="60"/>
      <c r="S271" s="31"/>
      <c r="T271" s="61"/>
      <c r="U271" s="60"/>
      <c r="V271" s="31"/>
      <c r="W271" s="61"/>
      <c r="X271" s="60"/>
      <c r="Y271" s="31"/>
      <c r="Z271" s="61"/>
      <c r="AA271" s="60"/>
      <c r="AB271" s="31"/>
      <c r="AC271" s="61"/>
      <c r="AD271" s="60"/>
      <c r="AE271" s="31"/>
      <c r="AF271" s="61"/>
      <c r="AG271" s="60"/>
      <c r="AH271" s="31"/>
      <c r="AI271" s="61"/>
      <c r="AJ271" s="60"/>
      <c r="AK271" s="31"/>
      <c r="AL271" s="61"/>
      <c r="AM271" s="60"/>
      <c r="AN271" s="31"/>
      <c r="AO271" s="61"/>
      <c r="AP271" s="60"/>
      <c r="AQ271" s="31"/>
      <c r="AR271" s="61"/>
      <c r="AS271" s="60"/>
      <c r="AT271" s="31"/>
      <c r="AU271" s="61"/>
    </row>
    <row r="272" ht="36.75" customHeight="1">
      <c r="A272" s="62"/>
      <c r="B272" s="156"/>
      <c r="C272" s="105" t="str">
        <f>VLOOKUP(D272,[1]Saldo!A270:B31543,2,0)</f>
        <v>#ERROR!</v>
      </c>
      <c r="D272" s="156" t="s">
        <v>977</v>
      </c>
      <c r="E272" s="156" t="s">
        <v>978</v>
      </c>
      <c r="F272" s="189">
        <v>2.0</v>
      </c>
      <c r="G272" s="191">
        <v>12000.0</v>
      </c>
      <c r="H272" s="190">
        <f>'PAINEL DE CONTROLE'!$J$5</f>
        <v>6544</v>
      </c>
      <c r="I272" s="190">
        <v>0.0</v>
      </c>
      <c r="J272" s="190">
        <f t="shared" si="3"/>
        <v>12000</v>
      </c>
      <c r="K272" s="190">
        <f t="shared" si="4"/>
        <v>5456</v>
      </c>
      <c r="L272" s="60"/>
      <c r="M272" s="31"/>
      <c r="N272" s="61"/>
      <c r="O272" s="60"/>
      <c r="P272" s="31"/>
      <c r="Q272" s="61"/>
      <c r="R272" s="60"/>
      <c r="S272" s="31"/>
      <c r="T272" s="61"/>
      <c r="U272" s="60"/>
      <c r="V272" s="31"/>
      <c r="W272" s="61"/>
      <c r="X272" s="60"/>
      <c r="Y272" s="31"/>
      <c r="Z272" s="61"/>
      <c r="AA272" s="60"/>
      <c r="AB272" s="31"/>
      <c r="AC272" s="61"/>
      <c r="AD272" s="60"/>
      <c r="AE272" s="31"/>
      <c r="AF272" s="61"/>
      <c r="AG272" s="60"/>
      <c r="AH272" s="31"/>
      <c r="AI272" s="61"/>
      <c r="AJ272" s="60"/>
      <c r="AK272" s="31"/>
      <c r="AL272" s="61"/>
      <c r="AM272" s="60"/>
      <c r="AN272" s="31"/>
      <c r="AO272" s="61"/>
      <c r="AP272" s="60"/>
      <c r="AQ272" s="31"/>
      <c r="AR272" s="61"/>
      <c r="AS272" s="60"/>
      <c r="AT272" s="31"/>
      <c r="AU272" s="61"/>
    </row>
    <row r="273" ht="36.75" customHeight="1">
      <c r="A273" s="62"/>
      <c r="B273" s="156"/>
      <c r="C273" s="105" t="str">
        <f>VLOOKUP(D273,[1]Saldo!A271:B31544,2,0)</f>
        <v>#ERROR!</v>
      </c>
      <c r="D273" s="156" t="s">
        <v>979</v>
      </c>
      <c r="E273" s="156" t="s">
        <v>980</v>
      </c>
      <c r="F273" s="189">
        <v>2.0</v>
      </c>
      <c r="G273" s="191">
        <v>12000.0</v>
      </c>
      <c r="H273" s="190">
        <f>'PAINEL DE CONTROLE'!$J$5</f>
        <v>6544</v>
      </c>
      <c r="I273" s="190">
        <v>0.0</v>
      </c>
      <c r="J273" s="190">
        <f t="shared" si="3"/>
        <v>12000</v>
      </c>
      <c r="K273" s="190">
        <f t="shared" si="4"/>
        <v>5456</v>
      </c>
      <c r="L273" s="60"/>
      <c r="M273" s="31"/>
      <c r="N273" s="61"/>
      <c r="O273" s="60"/>
      <c r="P273" s="31"/>
      <c r="Q273" s="61"/>
      <c r="R273" s="60"/>
      <c r="S273" s="31"/>
      <c r="T273" s="61"/>
      <c r="U273" s="60"/>
      <c r="V273" s="31"/>
      <c r="W273" s="61"/>
      <c r="X273" s="60"/>
      <c r="Y273" s="31"/>
      <c r="Z273" s="61"/>
      <c r="AA273" s="60"/>
      <c r="AB273" s="31"/>
      <c r="AC273" s="61"/>
      <c r="AD273" s="60"/>
      <c r="AE273" s="31"/>
      <c r="AF273" s="61"/>
      <c r="AG273" s="60"/>
      <c r="AH273" s="31"/>
      <c r="AI273" s="61"/>
      <c r="AJ273" s="60"/>
      <c r="AK273" s="31"/>
      <c r="AL273" s="61"/>
      <c r="AM273" s="60"/>
      <c r="AN273" s="31"/>
      <c r="AO273" s="61"/>
      <c r="AP273" s="60"/>
      <c r="AQ273" s="31"/>
      <c r="AR273" s="61"/>
      <c r="AS273" s="60"/>
      <c r="AT273" s="31"/>
      <c r="AU273" s="61"/>
    </row>
    <row r="274" ht="36.75" customHeight="1">
      <c r="A274" s="62"/>
      <c r="B274" s="156"/>
      <c r="C274" s="105" t="str">
        <f>VLOOKUP(D274,[1]Saldo!A272:B31545,2,0)</f>
        <v>#ERROR!</v>
      </c>
      <c r="D274" s="156" t="s">
        <v>981</v>
      </c>
      <c r="E274" s="156" t="s">
        <v>813</v>
      </c>
      <c r="F274" s="189">
        <v>2.0</v>
      </c>
      <c r="G274" s="191">
        <v>12000.0</v>
      </c>
      <c r="H274" s="190">
        <f>'PAINEL DE CONTROLE'!$J$5</f>
        <v>6544</v>
      </c>
      <c r="I274" s="190">
        <v>0.0</v>
      </c>
      <c r="J274" s="190">
        <f t="shared" si="3"/>
        <v>12000</v>
      </c>
      <c r="K274" s="190">
        <f t="shared" si="4"/>
        <v>5456</v>
      </c>
      <c r="L274" s="60"/>
      <c r="M274" s="31"/>
      <c r="N274" s="61"/>
      <c r="O274" s="60"/>
      <c r="P274" s="31"/>
      <c r="Q274" s="61"/>
      <c r="R274" s="60"/>
      <c r="S274" s="31"/>
      <c r="T274" s="61"/>
      <c r="U274" s="60"/>
      <c r="V274" s="31"/>
      <c r="W274" s="61"/>
      <c r="X274" s="60"/>
      <c r="Y274" s="31"/>
      <c r="Z274" s="61"/>
      <c r="AA274" s="60"/>
      <c r="AB274" s="31"/>
      <c r="AC274" s="61"/>
      <c r="AD274" s="60"/>
      <c r="AE274" s="31"/>
      <c r="AF274" s="61"/>
      <c r="AG274" s="60"/>
      <c r="AH274" s="31"/>
      <c r="AI274" s="61"/>
      <c r="AJ274" s="60"/>
      <c r="AK274" s="31"/>
      <c r="AL274" s="61"/>
      <c r="AM274" s="60"/>
      <c r="AN274" s="31"/>
      <c r="AO274" s="61"/>
      <c r="AP274" s="60"/>
      <c r="AQ274" s="31"/>
      <c r="AR274" s="61"/>
      <c r="AS274" s="60"/>
      <c r="AT274" s="31"/>
      <c r="AU274" s="61"/>
    </row>
    <row r="275" ht="36.75" customHeight="1">
      <c r="A275" s="63"/>
      <c r="B275" s="156"/>
      <c r="C275" s="105" t="str">
        <f>VLOOKUP(D275,[1]Saldo!A273:B31546,2,0)</f>
        <v>#ERROR!</v>
      </c>
      <c r="D275" s="156" t="s">
        <v>982</v>
      </c>
      <c r="E275" s="156" t="s">
        <v>813</v>
      </c>
      <c r="F275" s="189">
        <v>2.0</v>
      </c>
      <c r="G275" s="191">
        <v>12000.0</v>
      </c>
      <c r="H275" s="190">
        <f>'PAINEL DE CONTROLE'!$J$5</f>
        <v>6544</v>
      </c>
      <c r="I275" s="190">
        <v>0.0</v>
      </c>
      <c r="J275" s="190">
        <f t="shared" si="3"/>
        <v>12000</v>
      </c>
      <c r="K275" s="190">
        <f t="shared" si="4"/>
        <v>5456</v>
      </c>
      <c r="L275" s="107"/>
      <c r="M275" s="108"/>
      <c r="N275" s="109"/>
      <c r="O275" s="107"/>
      <c r="P275" s="108"/>
      <c r="Q275" s="109"/>
      <c r="R275" s="107"/>
      <c r="S275" s="108"/>
      <c r="T275" s="109"/>
      <c r="U275" s="107"/>
      <c r="V275" s="108"/>
      <c r="W275" s="109"/>
      <c r="X275" s="107"/>
      <c r="Y275" s="108"/>
      <c r="Z275" s="109"/>
      <c r="AA275" s="107"/>
      <c r="AB275" s="108"/>
      <c r="AC275" s="109"/>
      <c r="AD275" s="107"/>
      <c r="AE275" s="108"/>
      <c r="AF275" s="109"/>
      <c r="AG275" s="107"/>
      <c r="AH275" s="108"/>
      <c r="AI275" s="109"/>
      <c r="AJ275" s="107"/>
      <c r="AK275" s="108"/>
      <c r="AL275" s="109"/>
      <c r="AM275" s="107"/>
      <c r="AN275" s="108"/>
      <c r="AO275" s="109"/>
      <c r="AP275" s="107"/>
      <c r="AQ275" s="108"/>
      <c r="AR275" s="109"/>
      <c r="AS275" s="107"/>
      <c r="AT275" s="108"/>
      <c r="AU275" s="109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K1"/>
    <mergeCell ref="A3:A13"/>
    <mergeCell ref="A14:A25"/>
    <mergeCell ref="A26:A35"/>
    <mergeCell ref="A36:A40"/>
    <mergeCell ref="A41:A53"/>
    <mergeCell ref="A54:A58"/>
    <mergeCell ref="A59:A62"/>
    <mergeCell ref="A63:A65"/>
    <mergeCell ref="A66:A67"/>
    <mergeCell ref="A68:A75"/>
    <mergeCell ref="A76:A89"/>
    <mergeCell ref="A90:A91"/>
    <mergeCell ref="A92:A103"/>
    <mergeCell ref="A104:A108"/>
    <mergeCell ref="A109:A114"/>
    <mergeCell ref="A115:A117"/>
    <mergeCell ref="A118:A119"/>
    <mergeCell ref="A120:A137"/>
    <mergeCell ref="A138:A147"/>
    <mergeCell ref="A148:A155"/>
    <mergeCell ref="A255:A259"/>
    <mergeCell ref="A260:A275"/>
    <mergeCell ref="A156:A157"/>
    <mergeCell ref="A158:A162"/>
    <mergeCell ref="A163:A181"/>
    <mergeCell ref="A182:A183"/>
    <mergeCell ref="A184:A202"/>
    <mergeCell ref="A203:A233"/>
    <mergeCell ref="A234:A253"/>
  </mergeCells>
  <conditionalFormatting sqref="G233">
    <cfRule type="cellIs" dxfId="4" priority="1" operator="equal">
      <formula>1000</formula>
    </cfRule>
  </conditionalFormatting>
  <conditionalFormatting sqref="G233">
    <cfRule type="cellIs" dxfId="6" priority="2" operator="equal">
      <formula>2000</formula>
    </cfRule>
  </conditionalFormatting>
  <conditionalFormatting sqref="G233">
    <cfRule type="cellIs" dxfId="7" priority="3" stopIfTrue="1" operator="equal">
      <formula>1000</formula>
    </cfRule>
  </conditionalFormatting>
  <conditionalFormatting sqref="K2:K275">
    <cfRule type="cellIs" dxfId="8" priority="4" operator="lessThan">
      <formula>720</formula>
    </cfRule>
  </conditionalFormatting>
  <conditionalFormatting sqref="K3:K275">
    <cfRule type="cellIs" dxfId="9" priority="5" operator="lessThanOrEqual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28.57"/>
    <col customWidth="1" min="3" max="3" width="29.57"/>
    <col customWidth="1" min="4" max="4" width="50.29"/>
    <col customWidth="1" min="5" max="5" width="11.71"/>
    <col customWidth="1" min="6" max="6" width="15.86"/>
    <col customWidth="1" min="7" max="7" width="18.29"/>
    <col customWidth="1" min="8" max="8" width="14.14"/>
    <col customWidth="1" min="9" max="9" width="16.57"/>
    <col customWidth="1" min="10" max="10" width="18.57"/>
    <col customWidth="1" min="11" max="11" width="21.57"/>
    <col customWidth="1" min="12" max="12" width="55.14"/>
    <col customWidth="1" min="13" max="14" width="21.57"/>
    <col customWidth="1" min="15" max="15" width="55.14"/>
    <col customWidth="1" min="16" max="17" width="21.57"/>
    <col customWidth="1" min="18" max="18" width="55.14"/>
    <col customWidth="1" min="19" max="20" width="21.57"/>
    <col customWidth="1" min="21" max="21" width="55.14"/>
    <col customWidth="1" min="22" max="23" width="21.57"/>
    <col customWidth="1" min="24" max="24" width="55.14"/>
    <col customWidth="1" min="25" max="26" width="21.57"/>
    <col customWidth="1" min="27" max="27" width="55.14"/>
    <col customWidth="1" min="28" max="29" width="21.57"/>
    <col customWidth="1" min="30" max="30" width="55.14"/>
    <col customWidth="1" min="31" max="32" width="21.57"/>
    <col customWidth="1" min="33" max="33" width="55.14"/>
    <col customWidth="1" min="34" max="35" width="21.57"/>
    <col customWidth="1" min="36" max="36" width="55.14"/>
    <col customWidth="1" min="37" max="38" width="21.57"/>
    <col customWidth="1" min="39" max="39" width="55.14"/>
    <col customWidth="1" min="40" max="41" width="21.57"/>
    <col customWidth="1" min="42" max="42" width="55.14"/>
    <col customWidth="1" min="43" max="43" width="21.57"/>
  </cols>
  <sheetData>
    <row r="1" ht="48.75" customHeight="1">
      <c r="A1" s="195" t="s">
        <v>1132</v>
      </c>
      <c r="B1" s="37"/>
      <c r="C1" s="37"/>
      <c r="D1" s="37"/>
      <c r="E1" s="37"/>
      <c r="F1" s="37"/>
      <c r="G1" s="37"/>
      <c r="H1" s="37"/>
      <c r="I1" s="37"/>
      <c r="J1" s="196"/>
      <c r="K1" s="139"/>
      <c r="L1" s="140"/>
      <c r="M1" s="141"/>
      <c r="N1" s="139"/>
      <c r="O1" s="140"/>
      <c r="P1" s="141"/>
      <c r="Q1" s="139"/>
      <c r="R1" s="140"/>
      <c r="S1" s="141"/>
      <c r="T1" s="139"/>
      <c r="U1" s="140"/>
      <c r="V1" s="141"/>
      <c r="W1" s="139"/>
      <c r="X1" s="140"/>
      <c r="Y1" s="141"/>
      <c r="Z1" s="139"/>
      <c r="AA1" s="140"/>
      <c r="AB1" s="141"/>
      <c r="AC1" s="139"/>
      <c r="AD1" s="140"/>
      <c r="AE1" s="141"/>
      <c r="AF1" s="139"/>
      <c r="AG1" s="140"/>
      <c r="AH1" s="141"/>
      <c r="AI1" s="139"/>
      <c r="AJ1" s="140"/>
      <c r="AK1" s="141"/>
      <c r="AL1" s="139"/>
      <c r="AM1" s="140"/>
      <c r="AN1" s="141"/>
      <c r="AO1" s="139"/>
      <c r="AP1" s="140"/>
      <c r="AQ1" s="141"/>
    </row>
    <row r="2" ht="33.75" customHeight="1">
      <c r="A2" s="163" t="s">
        <v>96</v>
      </c>
      <c r="B2" s="163" t="s">
        <v>98</v>
      </c>
      <c r="C2" s="163" t="s">
        <v>99</v>
      </c>
      <c r="D2" s="163" t="s">
        <v>100</v>
      </c>
      <c r="E2" s="164" t="s">
        <v>101</v>
      </c>
      <c r="F2" s="163" t="s">
        <v>506</v>
      </c>
      <c r="G2" s="163" t="s">
        <v>103</v>
      </c>
      <c r="H2" s="163" t="s">
        <v>104</v>
      </c>
      <c r="I2" s="163" t="s">
        <v>105</v>
      </c>
      <c r="J2" s="163" t="s">
        <v>106</v>
      </c>
      <c r="K2" s="47" t="s">
        <v>107</v>
      </c>
      <c r="L2" s="45" t="s">
        <v>108</v>
      </c>
      <c r="M2" s="126" t="s">
        <v>109</v>
      </c>
      <c r="N2" s="47" t="s">
        <v>107</v>
      </c>
      <c r="O2" s="45" t="s">
        <v>108</v>
      </c>
      <c r="P2" s="126" t="s">
        <v>109</v>
      </c>
      <c r="Q2" s="47" t="s">
        <v>107</v>
      </c>
      <c r="R2" s="45" t="s">
        <v>108</v>
      </c>
      <c r="S2" s="126" t="s">
        <v>109</v>
      </c>
      <c r="T2" s="47" t="s">
        <v>107</v>
      </c>
      <c r="U2" s="45" t="s">
        <v>108</v>
      </c>
      <c r="V2" s="126" t="s">
        <v>109</v>
      </c>
      <c r="W2" s="47" t="s">
        <v>107</v>
      </c>
      <c r="X2" s="45" t="s">
        <v>108</v>
      </c>
      <c r="Y2" s="126" t="s">
        <v>109</v>
      </c>
      <c r="Z2" s="47" t="s">
        <v>107</v>
      </c>
      <c r="AA2" s="45" t="s">
        <v>108</v>
      </c>
      <c r="AB2" s="126" t="s">
        <v>109</v>
      </c>
      <c r="AC2" s="47" t="s">
        <v>107</v>
      </c>
      <c r="AD2" s="45" t="s">
        <v>108</v>
      </c>
      <c r="AE2" s="126" t="s">
        <v>109</v>
      </c>
      <c r="AF2" s="47" t="s">
        <v>107</v>
      </c>
      <c r="AG2" s="45" t="s">
        <v>108</v>
      </c>
      <c r="AH2" s="126" t="s">
        <v>109</v>
      </c>
      <c r="AI2" s="47" t="s">
        <v>107</v>
      </c>
      <c r="AJ2" s="45" t="s">
        <v>108</v>
      </c>
      <c r="AK2" s="126" t="s">
        <v>109</v>
      </c>
      <c r="AL2" s="47" t="s">
        <v>107</v>
      </c>
      <c r="AM2" s="45" t="s">
        <v>108</v>
      </c>
      <c r="AN2" s="126" t="s">
        <v>109</v>
      </c>
      <c r="AO2" s="47" t="s">
        <v>107</v>
      </c>
      <c r="AP2" s="45" t="s">
        <v>108</v>
      </c>
      <c r="AQ2" s="126" t="s">
        <v>109</v>
      </c>
    </row>
    <row r="3" ht="33.75" customHeight="1">
      <c r="A3" s="165" t="s">
        <v>984</v>
      </c>
      <c r="B3" s="168" t="str">
        <f>VLOOKUP(C3,[1]Saldo!A2:B31275,2,0)</f>
        <v>#ERROR!</v>
      </c>
      <c r="C3" s="168" t="s">
        <v>985</v>
      </c>
      <c r="D3" s="168" t="s">
        <v>986</v>
      </c>
      <c r="E3" s="168">
        <v>4.0</v>
      </c>
      <c r="F3" s="168">
        <v>4000.0</v>
      </c>
      <c r="G3" s="197">
        <f>'PAINEL DE CONTROLE'!$J$6</f>
        <v>6727</v>
      </c>
      <c r="H3" s="168">
        <v>0.0</v>
      </c>
      <c r="I3" s="168">
        <f t="shared" ref="I3:I18" si="1">SUM(H3+F3)</f>
        <v>4000</v>
      </c>
      <c r="J3" s="197">
        <f t="shared" ref="J3:J18" si="2">SUM(I3-G3)</f>
        <v>-2727</v>
      </c>
      <c r="K3" s="60"/>
      <c r="L3" s="31"/>
      <c r="M3" s="61"/>
      <c r="N3" s="60"/>
      <c r="O3" s="31"/>
      <c r="P3" s="61"/>
      <c r="Q3" s="60"/>
      <c r="R3" s="31"/>
      <c r="S3" s="61"/>
      <c r="T3" s="60"/>
      <c r="U3" s="31"/>
      <c r="V3" s="61"/>
      <c r="W3" s="60"/>
      <c r="X3" s="31"/>
      <c r="Y3" s="61"/>
      <c r="Z3" s="60"/>
      <c r="AA3" s="31"/>
      <c r="AB3" s="61"/>
      <c r="AC3" s="60"/>
      <c r="AD3" s="31"/>
      <c r="AE3" s="61"/>
      <c r="AF3" s="60"/>
      <c r="AG3" s="31"/>
      <c r="AH3" s="61"/>
      <c r="AI3" s="60"/>
      <c r="AJ3" s="31"/>
      <c r="AK3" s="61"/>
      <c r="AL3" s="60"/>
      <c r="AM3" s="31"/>
      <c r="AN3" s="61"/>
      <c r="AO3" s="60"/>
      <c r="AP3" s="31"/>
      <c r="AQ3" s="61"/>
    </row>
    <row r="4" ht="33.75" customHeight="1">
      <c r="A4" s="62"/>
      <c r="B4" s="168" t="str">
        <f>VLOOKUP(C4,[1]Saldo!A3:B31276,2,0)</f>
        <v>#ERROR!</v>
      </c>
      <c r="C4" s="168" t="s">
        <v>987</v>
      </c>
      <c r="D4" s="168" t="s">
        <v>988</v>
      </c>
      <c r="E4" s="198">
        <v>6.0</v>
      </c>
      <c r="F4" s="168">
        <v>6000.0</v>
      </c>
      <c r="G4" s="197">
        <f>'PAINEL DE CONTROLE'!$J$6</f>
        <v>6727</v>
      </c>
      <c r="H4" s="168">
        <v>0.0</v>
      </c>
      <c r="I4" s="168">
        <f t="shared" si="1"/>
        <v>6000</v>
      </c>
      <c r="J4" s="197">
        <f t="shared" si="2"/>
        <v>-727</v>
      </c>
      <c r="K4" s="60"/>
      <c r="L4" s="31"/>
      <c r="M4" s="61"/>
      <c r="N4" s="60"/>
      <c r="O4" s="31"/>
      <c r="P4" s="61"/>
      <c r="Q4" s="60"/>
      <c r="R4" s="31"/>
      <c r="S4" s="61"/>
      <c r="T4" s="60"/>
      <c r="U4" s="31"/>
      <c r="V4" s="61"/>
      <c r="W4" s="60"/>
      <c r="X4" s="31"/>
      <c r="Y4" s="61"/>
      <c r="Z4" s="60"/>
      <c r="AA4" s="31"/>
      <c r="AB4" s="61"/>
      <c r="AC4" s="60"/>
      <c r="AD4" s="31"/>
      <c r="AE4" s="61"/>
      <c r="AF4" s="60"/>
      <c r="AG4" s="31"/>
      <c r="AH4" s="61"/>
      <c r="AI4" s="60"/>
      <c r="AJ4" s="31"/>
      <c r="AK4" s="61"/>
      <c r="AL4" s="60"/>
      <c r="AM4" s="31"/>
      <c r="AN4" s="61"/>
      <c r="AO4" s="60"/>
      <c r="AP4" s="31"/>
      <c r="AQ4" s="61"/>
    </row>
    <row r="5" ht="33.75" customHeight="1">
      <c r="A5" s="62"/>
      <c r="B5" s="168" t="str">
        <f>VLOOKUP(C5,[1]Saldo!A4:B31277,2,0)</f>
        <v>#ERROR!</v>
      </c>
      <c r="C5" s="168" t="s">
        <v>989</v>
      </c>
      <c r="D5" s="168" t="s">
        <v>990</v>
      </c>
      <c r="E5" s="198">
        <v>4.0</v>
      </c>
      <c r="F5" s="168">
        <v>6000.0</v>
      </c>
      <c r="G5" s="197">
        <f>'PAINEL DE CONTROLE'!$J$6</f>
        <v>6727</v>
      </c>
      <c r="H5" s="168">
        <v>0.0</v>
      </c>
      <c r="I5" s="168">
        <f t="shared" si="1"/>
        <v>6000</v>
      </c>
      <c r="J5" s="197">
        <f t="shared" si="2"/>
        <v>-727</v>
      </c>
      <c r="K5" s="60"/>
      <c r="L5" s="31"/>
      <c r="M5" s="61"/>
      <c r="N5" s="60"/>
      <c r="O5" s="31"/>
      <c r="P5" s="61"/>
      <c r="Q5" s="60"/>
      <c r="R5" s="31"/>
      <c r="S5" s="61"/>
      <c r="T5" s="60"/>
      <c r="U5" s="31"/>
      <c r="V5" s="61"/>
      <c r="W5" s="60"/>
      <c r="X5" s="31"/>
      <c r="Y5" s="61"/>
      <c r="Z5" s="60"/>
      <c r="AA5" s="31"/>
      <c r="AB5" s="61"/>
      <c r="AC5" s="60"/>
      <c r="AD5" s="31"/>
      <c r="AE5" s="61"/>
      <c r="AF5" s="60"/>
      <c r="AG5" s="31"/>
      <c r="AH5" s="61"/>
      <c r="AI5" s="60"/>
      <c r="AJ5" s="31"/>
      <c r="AK5" s="61"/>
      <c r="AL5" s="60"/>
      <c r="AM5" s="31"/>
      <c r="AN5" s="61"/>
      <c r="AO5" s="60"/>
      <c r="AP5" s="31"/>
      <c r="AQ5" s="61"/>
    </row>
    <row r="6" ht="33.75" customHeight="1">
      <c r="A6" s="62"/>
      <c r="B6" s="168" t="str">
        <f>VLOOKUP(C6,[1]Saldo!A5:B31278,2,0)</f>
        <v>#ERROR!</v>
      </c>
      <c r="C6" s="168" t="s">
        <v>991</v>
      </c>
      <c r="D6" s="168" t="s">
        <v>992</v>
      </c>
      <c r="E6" s="198">
        <v>23.0</v>
      </c>
      <c r="F6" s="168">
        <v>6000.0</v>
      </c>
      <c r="G6" s="197">
        <f>'PAINEL DE CONTROLE'!$J$6</f>
        <v>6727</v>
      </c>
      <c r="H6" s="168">
        <v>0.0</v>
      </c>
      <c r="I6" s="168">
        <f t="shared" si="1"/>
        <v>6000</v>
      </c>
      <c r="J6" s="197">
        <f t="shared" si="2"/>
        <v>-727</v>
      </c>
      <c r="K6" s="60"/>
      <c r="L6" s="31"/>
      <c r="M6" s="61"/>
      <c r="N6" s="60"/>
      <c r="O6" s="31"/>
      <c r="P6" s="61"/>
      <c r="Q6" s="60"/>
      <c r="R6" s="31"/>
      <c r="S6" s="61"/>
      <c r="T6" s="60"/>
      <c r="U6" s="31"/>
      <c r="V6" s="61"/>
      <c r="W6" s="60"/>
      <c r="X6" s="31"/>
      <c r="Y6" s="61"/>
      <c r="Z6" s="60"/>
      <c r="AA6" s="31"/>
      <c r="AB6" s="61"/>
      <c r="AC6" s="60"/>
      <c r="AD6" s="31"/>
      <c r="AE6" s="61"/>
      <c r="AF6" s="60"/>
      <c r="AG6" s="31"/>
      <c r="AH6" s="61"/>
      <c r="AI6" s="60"/>
      <c r="AJ6" s="31"/>
      <c r="AK6" s="61"/>
      <c r="AL6" s="60"/>
      <c r="AM6" s="31"/>
      <c r="AN6" s="61"/>
      <c r="AO6" s="60"/>
      <c r="AP6" s="31"/>
      <c r="AQ6" s="61"/>
    </row>
    <row r="7" ht="33.75" customHeight="1">
      <c r="A7" s="62"/>
      <c r="B7" s="168" t="str">
        <f>VLOOKUP(C7,[1]Saldo!A6:B31279,2,0)</f>
        <v>#ERROR!</v>
      </c>
      <c r="C7" s="168" t="s">
        <v>993</v>
      </c>
      <c r="D7" s="168" t="s">
        <v>672</v>
      </c>
      <c r="E7" s="198">
        <v>4.0</v>
      </c>
      <c r="F7" s="168">
        <v>6000.0</v>
      </c>
      <c r="G7" s="197">
        <f>'PAINEL DE CONTROLE'!$J$6</f>
        <v>6727</v>
      </c>
      <c r="H7" s="168">
        <v>0.0</v>
      </c>
      <c r="I7" s="168">
        <f t="shared" si="1"/>
        <v>6000</v>
      </c>
      <c r="J7" s="197">
        <f t="shared" si="2"/>
        <v>-727</v>
      </c>
      <c r="K7" s="60"/>
      <c r="L7" s="31"/>
      <c r="M7" s="61"/>
      <c r="N7" s="60"/>
      <c r="O7" s="31"/>
      <c r="P7" s="61"/>
      <c r="Q7" s="60"/>
      <c r="R7" s="31"/>
      <c r="S7" s="61"/>
      <c r="T7" s="60"/>
      <c r="U7" s="31"/>
      <c r="V7" s="61"/>
      <c r="W7" s="60"/>
      <c r="X7" s="31"/>
      <c r="Y7" s="61"/>
      <c r="Z7" s="60"/>
      <c r="AA7" s="31"/>
      <c r="AB7" s="61"/>
      <c r="AC7" s="60"/>
      <c r="AD7" s="31"/>
      <c r="AE7" s="61"/>
      <c r="AF7" s="60"/>
      <c r="AG7" s="31"/>
      <c r="AH7" s="61"/>
      <c r="AI7" s="60"/>
      <c r="AJ7" s="31"/>
      <c r="AK7" s="61"/>
      <c r="AL7" s="60"/>
      <c r="AM7" s="31"/>
      <c r="AN7" s="61"/>
      <c r="AO7" s="60"/>
      <c r="AP7" s="31"/>
      <c r="AQ7" s="61"/>
    </row>
    <row r="8" ht="33.75" customHeight="1">
      <c r="A8" s="62"/>
      <c r="B8" s="168" t="str">
        <f>VLOOKUP(C8,[1]Saldo!A7:B31280,2,0)</f>
        <v>#ERROR!</v>
      </c>
      <c r="C8" s="175" t="s">
        <v>994</v>
      </c>
      <c r="D8" s="168" t="s">
        <v>634</v>
      </c>
      <c r="E8" s="198">
        <v>1.0</v>
      </c>
      <c r="F8" s="168">
        <v>6000.0</v>
      </c>
      <c r="G8" s="197">
        <f>'PAINEL DE CONTROLE'!$J$6</f>
        <v>6727</v>
      </c>
      <c r="H8" s="168">
        <v>0.0</v>
      </c>
      <c r="I8" s="168">
        <f t="shared" si="1"/>
        <v>6000</v>
      </c>
      <c r="J8" s="197">
        <f t="shared" si="2"/>
        <v>-727</v>
      </c>
      <c r="K8" s="60"/>
      <c r="L8" s="31"/>
      <c r="M8" s="61"/>
      <c r="N8" s="60"/>
      <c r="O8" s="31"/>
      <c r="P8" s="61"/>
      <c r="Q8" s="60"/>
      <c r="R8" s="31"/>
      <c r="S8" s="61"/>
      <c r="T8" s="60"/>
      <c r="U8" s="31"/>
      <c r="V8" s="61"/>
      <c r="W8" s="60"/>
      <c r="X8" s="31"/>
      <c r="Y8" s="61"/>
      <c r="Z8" s="60"/>
      <c r="AA8" s="31"/>
      <c r="AB8" s="61"/>
      <c r="AC8" s="60"/>
      <c r="AD8" s="31"/>
      <c r="AE8" s="61"/>
      <c r="AF8" s="60"/>
      <c r="AG8" s="31"/>
      <c r="AH8" s="61"/>
      <c r="AI8" s="60"/>
      <c r="AJ8" s="31"/>
      <c r="AK8" s="61"/>
      <c r="AL8" s="60"/>
      <c r="AM8" s="31"/>
      <c r="AN8" s="61"/>
      <c r="AO8" s="60"/>
      <c r="AP8" s="31"/>
      <c r="AQ8" s="61"/>
    </row>
    <row r="9" ht="33.75" customHeight="1">
      <c r="A9" s="62"/>
      <c r="B9" s="168" t="str">
        <f>VLOOKUP(C9,[1]Saldo!A8:B31281,2,0)</f>
        <v>#ERROR!</v>
      </c>
      <c r="C9" s="168" t="s">
        <v>995</v>
      </c>
      <c r="D9" s="168" t="s">
        <v>996</v>
      </c>
      <c r="E9" s="198">
        <v>6.0</v>
      </c>
      <c r="F9" s="168">
        <v>6000.0</v>
      </c>
      <c r="G9" s="197">
        <f>'PAINEL DE CONTROLE'!$J$6</f>
        <v>6727</v>
      </c>
      <c r="H9" s="168">
        <v>0.0</v>
      </c>
      <c r="I9" s="168">
        <f t="shared" si="1"/>
        <v>6000</v>
      </c>
      <c r="J9" s="197">
        <f t="shared" si="2"/>
        <v>-727</v>
      </c>
      <c r="K9" s="60"/>
      <c r="L9" s="31"/>
      <c r="M9" s="61"/>
      <c r="N9" s="60"/>
      <c r="O9" s="31"/>
      <c r="P9" s="61"/>
      <c r="Q9" s="60"/>
      <c r="R9" s="31"/>
      <c r="S9" s="61"/>
      <c r="T9" s="60"/>
      <c r="U9" s="31"/>
      <c r="V9" s="61"/>
      <c r="W9" s="60"/>
      <c r="X9" s="31"/>
      <c r="Y9" s="61"/>
      <c r="Z9" s="60"/>
      <c r="AA9" s="31"/>
      <c r="AB9" s="61"/>
      <c r="AC9" s="60"/>
      <c r="AD9" s="31"/>
      <c r="AE9" s="61"/>
      <c r="AF9" s="60"/>
      <c r="AG9" s="31"/>
      <c r="AH9" s="61"/>
      <c r="AI9" s="60"/>
      <c r="AJ9" s="31"/>
      <c r="AK9" s="61"/>
      <c r="AL9" s="60"/>
      <c r="AM9" s="31"/>
      <c r="AN9" s="61"/>
      <c r="AO9" s="60"/>
      <c r="AP9" s="31"/>
      <c r="AQ9" s="61"/>
    </row>
    <row r="10" ht="33.75" customHeight="1">
      <c r="A10" s="62"/>
      <c r="B10" s="168" t="str">
        <f>VLOOKUP(C10,[1]Saldo!A9:B31282,2,0)</f>
        <v>#ERROR!</v>
      </c>
      <c r="C10" s="168" t="s">
        <v>997</v>
      </c>
      <c r="D10" s="168" t="s">
        <v>998</v>
      </c>
      <c r="E10" s="198">
        <v>1.0</v>
      </c>
      <c r="F10" s="168">
        <v>6000.0</v>
      </c>
      <c r="G10" s="197">
        <f>'PAINEL DE CONTROLE'!$J$6</f>
        <v>6727</v>
      </c>
      <c r="H10" s="168">
        <v>0.0</v>
      </c>
      <c r="I10" s="168">
        <f t="shared" si="1"/>
        <v>6000</v>
      </c>
      <c r="J10" s="197">
        <f t="shared" si="2"/>
        <v>-727</v>
      </c>
      <c r="K10" s="60"/>
      <c r="L10" s="31"/>
      <c r="M10" s="61"/>
      <c r="N10" s="60"/>
      <c r="O10" s="31"/>
      <c r="P10" s="61"/>
      <c r="Q10" s="60"/>
      <c r="R10" s="31"/>
      <c r="S10" s="61"/>
      <c r="T10" s="60"/>
      <c r="U10" s="31"/>
      <c r="V10" s="61"/>
      <c r="W10" s="60"/>
      <c r="X10" s="31"/>
      <c r="Y10" s="61"/>
      <c r="Z10" s="60"/>
      <c r="AA10" s="31"/>
      <c r="AB10" s="61"/>
      <c r="AC10" s="60"/>
      <c r="AD10" s="31"/>
      <c r="AE10" s="61"/>
      <c r="AF10" s="60"/>
      <c r="AG10" s="31"/>
      <c r="AH10" s="61"/>
      <c r="AI10" s="60"/>
      <c r="AJ10" s="31"/>
      <c r="AK10" s="61"/>
      <c r="AL10" s="60"/>
      <c r="AM10" s="31"/>
      <c r="AN10" s="61"/>
      <c r="AO10" s="60"/>
      <c r="AP10" s="31"/>
      <c r="AQ10" s="61"/>
    </row>
    <row r="11" ht="33.75" customHeight="1">
      <c r="A11" s="62"/>
      <c r="B11" s="168" t="str">
        <f>VLOOKUP(C11,[1]Saldo!A10:B31283,2,0)</f>
        <v>#ERROR!</v>
      </c>
      <c r="C11" s="168" t="s">
        <v>999</v>
      </c>
      <c r="D11" s="168" t="s">
        <v>1000</v>
      </c>
      <c r="E11" s="198">
        <v>1.0</v>
      </c>
      <c r="F11" s="168">
        <v>6000.0</v>
      </c>
      <c r="G11" s="197">
        <f>'PAINEL DE CONTROLE'!$J$6</f>
        <v>6727</v>
      </c>
      <c r="H11" s="168">
        <v>0.0</v>
      </c>
      <c r="I11" s="168">
        <f t="shared" si="1"/>
        <v>6000</v>
      </c>
      <c r="J11" s="197">
        <f t="shared" si="2"/>
        <v>-727</v>
      </c>
      <c r="K11" s="60"/>
      <c r="L11" s="31"/>
      <c r="M11" s="61"/>
      <c r="N11" s="60"/>
      <c r="O11" s="31"/>
      <c r="P11" s="61"/>
      <c r="Q11" s="60"/>
      <c r="R11" s="31"/>
      <c r="S11" s="61"/>
      <c r="T11" s="60"/>
      <c r="U11" s="31"/>
      <c r="V11" s="61"/>
      <c r="W11" s="60"/>
      <c r="X11" s="31"/>
      <c r="Y11" s="61"/>
      <c r="Z11" s="60"/>
      <c r="AA11" s="31"/>
      <c r="AB11" s="61"/>
      <c r="AC11" s="60"/>
      <c r="AD11" s="31"/>
      <c r="AE11" s="61"/>
      <c r="AF11" s="60"/>
      <c r="AG11" s="31"/>
      <c r="AH11" s="61"/>
      <c r="AI11" s="60"/>
      <c r="AJ11" s="31"/>
      <c r="AK11" s="61"/>
      <c r="AL11" s="60"/>
      <c r="AM11" s="31"/>
      <c r="AN11" s="61"/>
      <c r="AO11" s="60"/>
      <c r="AP11" s="31"/>
      <c r="AQ11" s="61"/>
    </row>
    <row r="12" ht="33.75" customHeight="1">
      <c r="A12" s="62"/>
      <c r="B12" s="168" t="str">
        <f>VLOOKUP(C12,[1]Saldo!A11:B31284,2,0)</f>
        <v>#ERROR!</v>
      </c>
      <c r="C12" s="168" t="s">
        <v>1001</v>
      </c>
      <c r="D12" s="168" t="s">
        <v>634</v>
      </c>
      <c r="E12" s="198">
        <v>1.0</v>
      </c>
      <c r="F12" s="168">
        <v>6000.0</v>
      </c>
      <c r="G12" s="197">
        <f>'PAINEL DE CONTROLE'!$J$6</f>
        <v>6727</v>
      </c>
      <c r="H12" s="168">
        <v>0.0</v>
      </c>
      <c r="I12" s="168">
        <f t="shared" si="1"/>
        <v>6000</v>
      </c>
      <c r="J12" s="197">
        <f t="shared" si="2"/>
        <v>-727</v>
      </c>
      <c r="K12" s="60"/>
      <c r="L12" s="31"/>
      <c r="M12" s="61"/>
      <c r="N12" s="60"/>
      <c r="O12" s="31"/>
      <c r="P12" s="61"/>
      <c r="Q12" s="60"/>
      <c r="R12" s="31"/>
      <c r="S12" s="61"/>
      <c r="T12" s="60"/>
      <c r="U12" s="31"/>
      <c r="V12" s="61"/>
      <c r="W12" s="60"/>
      <c r="X12" s="31"/>
      <c r="Y12" s="61"/>
      <c r="Z12" s="60"/>
      <c r="AA12" s="31"/>
      <c r="AB12" s="61"/>
      <c r="AC12" s="60"/>
      <c r="AD12" s="31"/>
      <c r="AE12" s="61"/>
      <c r="AF12" s="60"/>
      <c r="AG12" s="31"/>
      <c r="AH12" s="61"/>
      <c r="AI12" s="60"/>
      <c r="AJ12" s="31"/>
      <c r="AK12" s="61"/>
      <c r="AL12" s="60"/>
      <c r="AM12" s="31"/>
      <c r="AN12" s="61"/>
      <c r="AO12" s="60"/>
      <c r="AP12" s="31"/>
      <c r="AQ12" s="61"/>
    </row>
    <row r="13" ht="33.75" customHeight="1">
      <c r="A13" s="62"/>
      <c r="B13" s="168" t="str">
        <f>VLOOKUP(C13,[1]Saldo!A12:B31285,2,0)</f>
        <v>#ERROR!</v>
      </c>
      <c r="C13" s="168" t="s">
        <v>1002</v>
      </c>
      <c r="D13" s="168" t="s">
        <v>1003</v>
      </c>
      <c r="E13" s="198">
        <v>5.0</v>
      </c>
      <c r="F13" s="168">
        <v>6000.0</v>
      </c>
      <c r="G13" s="197">
        <f>'PAINEL DE CONTROLE'!$J$6</f>
        <v>6727</v>
      </c>
      <c r="H13" s="168">
        <v>0.0</v>
      </c>
      <c r="I13" s="168">
        <f t="shared" si="1"/>
        <v>6000</v>
      </c>
      <c r="J13" s="197">
        <f t="shared" si="2"/>
        <v>-727</v>
      </c>
      <c r="K13" s="60"/>
      <c r="L13" s="31"/>
      <c r="M13" s="61"/>
      <c r="N13" s="60"/>
      <c r="O13" s="31"/>
      <c r="P13" s="61"/>
      <c r="Q13" s="60"/>
      <c r="R13" s="31"/>
      <c r="S13" s="61"/>
      <c r="T13" s="60"/>
      <c r="U13" s="31"/>
      <c r="V13" s="61"/>
      <c r="W13" s="60"/>
      <c r="X13" s="31"/>
      <c r="Y13" s="61"/>
      <c r="Z13" s="60"/>
      <c r="AA13" s="31"/>
      <c r="AB13" s="61"/>
      <c r="AC13" s="60"/>
      <c r="AD13" s="31"/>
      <c r="AE13" s="61"/>
      <c r="AF13" s="60"/>
      <c r="AG13" s="31"/>
      <c r="AH13" s="61"/>
      <c r="AI13" s="60"/>
      <c r="AJ13" s="31"/>
      <c r="AK13" s="61"/>
      <c r="AL13" s="60"/>
      <c r="AM13" s="31"/>
      <c r="AN13" s="61"/>
      <c r="AO13" s="60"/>
      <c r="AP13" s="31"/>
      <c r="AQ13" s="61"/>
    </row>
    <row r="14" ht="33.75" customHeight="1">
      <c r="A14" s="62"/>
      <c r="B14" s="168" t="str">
        <f>VLOOKUP(C14,[1]Saldo!A13:B31286,2,0)</f>
        <v>#ERROR!</v>
      </c>
      <c r="C14" s="168" t="s">
        <v>1004</v>
      </c>
      <c r="D14" s="168" t="s">
        <v>624</v>
      </c>
      <c r="E14" s="198">
        <v>2.0</v>
      </c>
      <c r="F14" s="168">
        <v>6000.0</v>
      </c>
      <c r="G14" s="197">
        <f>'PAINEL DE CONTROLE'!$J$6</f>
        <v>6727</v>
      </c>
      <c r="H14" s="168">
        <v>0.0</v>
      </c>
      <c r="I14" s="168">
        <f t="shared" si="1"/>
        <v>6000</v>
      </c>
      <c r="J14" s="197">
        <f t="shared" si="2"/>
        <v>-727</v>
      </c>
      <c r="K14" s="60"/>
      <c r="L14" s="31"/>
      <c r="M14" s="61"/>
      <c r="N14" s="60"/>
      <c r="O14" s="31"/>
      <c r="P14" s="61"/>
      <c r="Q14" s="60"/>
      <c r="R14" s="31"/>
      <c r="S14" s="61"/>
      <c r="T14" s="60"/>
      <c r="U14" s="31"/>
      <c r="V14" s="61"/>
      <c r="W14" s="60"/>
      <c r="X14" s="31"/>
      <c r="Y14" s="61"/>
      <c r="Z14" s="60"/>
      <c r="AA14" s="31"/>
      <c r="AB14" s="61"/>
      <c r="AC14" s="60"/>
      <c r="AD14" s="31"/>
      <c r="AE14" s="61"/>
      <c r="AF14" s="60"/>
      <c r="AG14" s="31"/>
      <c r="AH14" s="61"/>
      <c r="AI14" s="60"/>
      <c r="AJ14" s="31"/>
      <c r="AK14" s="61"/>
      <c r="AL14" s="60"/>
      <c r="AM14" s="31"/>
      <c r="AN14" s="61"/>
      <c r="AO14" s="60"/>
      <c r="AP14" s="31"/>
      <c r="AQ14" s="61"/>
    </row>
    <row r="15" ht="33.75" customHeight="1">
      <c r="A15" s="62"/>
      <c r="B15" s="168" t="str">
        <f>VLOOKUP(C15,[1]Saldo!A14:B31287,2,0)</f>
        <v>#ERROR!</v>
      </c>
      <c r="C15" s="168" t="s">
        <v>1005</v>
      </c>
      <c r="D15" s="168" t="s">
        <v>634</v>
      </c>
      <c r="E15" s="198">
        <v>1.0</v>
      </c>
      <c r="F15" s="168">
        <v>6000.0</v>
      </c>
      <c r="G15" s="197">
        <f>'PAINEL DE CONTROLE'!$J$6</f>
        <v>6727</v>
      </c>
      <c r="H15" s="168">
        <v>0.0</v>
      </c>
      <c r="I15" s="168">
        <f t="shared" si="1"/>
        <v>6000</v>
      </c>
      <c r="J15" s="197">
        <f t="shared" si="2"/>
        <v>-727</v>
      </c>
      <c r="K15" s="60"/>
      <c r="L15" s="31"/>
      <c r="M15" s="61"/>
      <c r="N15" s="60"/>
      <c r="O15" s="31"/>
      <c r="P15" s="61"/>
      <c r="Q15" s="60"/>
      <c r="R15" s="31"/>
      <c r="S15" s="61"/>
      <c r="T15" s="60"/>
      <c r="U15" s="31"/>
      <c r="V15" s="61"/>
      <c r="W15" s="60"/>
      <c r="X15" s="31"/>
      <c r="Y15" s="61"/>
      <c r="Z15" s="60"/>
      <c r="AA15" s="31"/>
      <c r="AB15" s="61"/>
      <c r="AC15" s="60"/>
      <c r="AD15" s="31"/>
      <c r="AE15" s="61"/>
      <c r="AF15" s="60"/>
      <c r="AG15" s="31"/>
      <c r="AH15" s="61"/>
      <c r="AI15" s="60"/>
      <c r="AJ15" s="31"/>
      <c r="AK15" s="61"/>
      <c r="AL15" s="60"/>
      <c r="AM15" s="31"/>
      <c r="AN15" s="61"/>
      <c r="AO15" s="60"/>
      <c r="AP15" s="31"/>
      <c r="AQ15" s="61"/>
    </row>
    <row r="16" ht="33.75" customHeight="1">
      <c r="A16" s="62"/>
      <c r="B16" s="168" t="str">
        <f>VLOOKUP(C16,[1]Saldo!A15:B31288,2,0)</f>
        <v>#ERROR!</v>
      </c>
      <c r="C16" s="168" t="s">
        <v>1006</v>
      </c>
      <c r="D16" s="168" t="s">
        <v>990</v>
      </c>
      <c r="E16" s="198">
        <v>10.0</v>
      </c>
      <c r="F16" s="168">
        <v>6000.0</v>
      </c>
      <c r="G16" s="197">
        <f>'PAINEL DE CONTROLE'!$J$6</f>
        <v>6727</v>
      </c>
      <c r="H16" s="168">
        <v>0.0</v>
      </c>
      <c r="I16" s="168">
        <f t="shared" si="1"/>
        <v>6000</v>
      </c>
      <c r="J16" s="197">
        <f t="shared" si="2"/>
        <v>-727</v>
      </c>
      <c r="K16" s="60"/>
      <c r="L16" s="31"/>
      <c r="M16" s="61"/>
      <c r="N16" s="60"/>
      <c r="O16" s="31"/>
      <c r="P16" s="61"/>
      <c r="Q16" s="60"/>
      <c r="R16" s="31"/>
      <c r="S16" s="61"/>
      <c r="T16" s="60"/>
      <c r="U16" s="31"/>
      <c r="V16" s="61"/>
      <c r="W16" s="60"/>
      <c r="X16" s="31"/>
      <c r="Y16" s="61"/>
      <c r="Z16" s="60"/>
      <c r="AA16" s="31"/>
      <c r="AB16" s="61"/>
      <c r="AC16" s="60"/>
      <c r="AD16" s="31"/>
      <c r="AE16" s="61"/>
      <c r="AF16" s="60"/>
      <c r="AG16" s="31"/>
      <c r="AH16" s="61"/>
      <c r="AI16" s="60"/>
      <c r="AJ16" s="31"/>
      <c r="AK16" s="61"/>
      <c r="AL16" s="60"/>
      <c r="AM16" s="31"/>
      <c r="AN16" s="61"/>
      <c r="AO16" s="60"/>
      <c r="AP16" s="31"/>
      <c r="AQ16" s="61"/>
    </row>
    <row r="17" ht="33.75" customHeight="1">
      <c r="A17" s="62"/>
      <c r="B17" s="168" t="str">
        <f>VLOOKUP(C17,[1]Saldo!A16:B31289,2,0)</f>
        <v>#ERROR!</v>
      </c>
      <c r="C17" s="168" t="s">
        <v>1007</v>
      </c>
      <c r="D17" s="168" t="s">
        <v>1008</v>
      </c>
      <c r="E17" s="198">
        <v>1.0</v>
      </c>
      <c r="F17" s="168">
        <v>6000.0</v>
      </c>
      <c r="G17" s="197">
        <f>'PAINEL DE CONTROLE'!$J$6</f>
        <v>6727</v>
      </c>
      <c r="H17" s="168">
        <v>0.0</v>
      </c>
      <c r="I17" s="168">
        <f t="shared" si="1"/>
        <v>6000</v>
      </c>
      <c r="J17" s="197">
        <f t="shared" si="2"/>
        <v>-727</v>
      </c>
      <c r="K17" s="60"/>
      <c r="L17" s="31"/>
      <c r="M17" s="61"/>
      <c r="N17" s="60"/>
      <c r="O17" s="31"/>
      <c r="P17" s="61"/>
      <c r="Q17" s="60"/>
      <c r="R17" s="31"/>
      <c r="S17" s="61"/>
      <c r="T17" s="60"/>
      <c r="U17" s="31"/>
      <c r="V17" s="61"/>
      <c r="W17" s="60"/>
      <c r="X17" s="31"/>
      <c r="Y17" s="61"/>
      <c r="Z17" s="60"/>
      <c r="AA17" s="31"/>
      <c r="AB17" s="61"/>
      <c r="AC17" s="60"/>
      <c r="AD17" s="31"/>
      <c r="AE17" s="61"/>
      <c r="AF17" s="60"/>
      <c r="AG17" s="31"/>
      <c r="AH17" s="61"/>
      <c r="AI17" s="60"/>
      <c r="AJ17" s="31"/>
      <c r="AK17" s="61"/>
      <c r="AL17" s="60"/>
      <c r="AM17" s="31"/>
      <c r="AN17" s="61"/>
      <c r="AO17" s="60"/>
      <c r="AP17" s="31"/>
      <c r="AQ17" s="61"/>
    </row>
    <row r="18" ht="33.75" customHeight="1">
      <c r="A18" s="63"/>
      <c r="B18" s="168" t="str">
        <f>VLOOKUP(C18,[1]Saldo!A17:B31290,2,0)</f>
        <v>#ERROR!</v>
      </c>
      <c r="C18" s="168" t="s">
        <v>1009</v>
      </c>
      <c r="D18" s="168" t="s">
        <v>1010</v>
      </c>
      <c r="E18" s="198">
        <v>3.0</v>
      </c>
      <c r="F18" s="168">
        <v>6000.0</v>
      </c>
      <c r="G18" s="197">
        <f>'PAINEL DE CONTROLE'!$J$6</f>
        <v>6727</v>
      </c>
      <c r="H18" s="168">
        <v>0.0</v>
      </c>
      <c r="I18" s="168">
        <f t="shared" si="1"/>
        <v>6000</v>
      </c>
      <c r="J18" s="197">
        <f t="shared" si="2"/>
        <v>-727</v>
      </c>
      <c r="K18" s="107"/>
      <c r="L18" s="108"/>
      <c r="M18" s="109"/>
      <c r="N18" s="107"/>
      <c r="O18" s="108"/>
      <c r="P18" s="109"/>
      <c r="Q18" s="107"/>
      <c r="R18" s="108"/>
      <c r="S18" s="109"/>
      <c r="T18" s="107"/>
      <c r="U18" s="108"/>
      <c r="V18" s="109"/>
      <c r="W18" s="107"/>
      <c r="X18" s="108"/>
      <c r="Y18" s="109"/>
      <c r="Z18" s="107"/>
      <c r="AA18" s="108"/>
      <c r="AB18" s="109"/>
      <c r="AC18" s="107"/>
      <c r="AD18" s="108"/>
      <c r="AE18" s="109"/>
      <c r="AF18" s="107"/>
      <c r="AG18" s="108"/>
      <c r="AH18" s="109"/>
      <c r="AI18" s="107"/>
      <c r="AJ18" s="108"/>
      <c r="AK18" s="109"/>
      <c r="AL18" s="107"/>
      <c r="AM18" s="108"/>
      <c r="AN18" s="109"/>
      <c r="AO18" s="107"/>
      <c r="AP18" s="108"/>
      <c r="AQ18" s="10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3:A18"/>
  </mergeCells>
  <conditionalFormatting sqref="J2">
    <cfRule type="cellIs" dxfId="7" priority="1" operator="lessThan">
      <formula>500</formula>
    </cfRule>
  </conditionalFormatting>
  <conditionalFormatting sqref="J3:J18">
    <cfRule type="cellIs" dxfId="3" priority="2" operator="lessThan">
      <formula>0</formula>
    </cfRule>
  </conditionalFormatting>
  <conditionalFormatting sqref="J3:J18">
    <cfRule type="cellIs" dxfId="10" priority="3" operator="between">
      <formula>0</formula>
      <formula>720</formula>
    </cfRule>
  </conditionalFormatting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26.0"/>
    <col customWidth="1" min="3" max="3" width="25.14"/>
    <col customWidth="1" min="4" max="4" width="49.57"/>
    <col customWidth="1" min="5" max="5" width="14.29"/>
    <col customWidth="1" min="6" max="6" width="15.86"/>
    <col customWidth="1" min="7" max="7" width="15.14"/>
    <col customWidth="1" min="8" max="8" width="17.29"/>
    <col customWidth="1" min="9" max="9" width="16.43"/>
    <col customWidth="1" min="10" max="10" width="17.0"/>
    <col customWidth="1" min="11" max="11" width="23.71"/>
    <col customWidth="1" min="12" max="12" width="61.14"/>
    <col customWidth="1" min="13" max="14" width="23.71"/>
    <col customWidth="1" min="15" max="15" width="61.14"/>
    <col customWidth="1" min="16" max="17" width="23.71"/>
    <col customWidth="1" min="18" max="18" width="61.14"/>
    <col customWidth="1" min="19" max="20" width="23.71"/>
    <col customWidth="1" min="21" max="21" width="61.14"/>
    <col customWidth="1" min="22" max="23" width="23.71"/>
    <col customWidth="1" min="24" max="24" width="61.14"/>
    <col customWidth="1" min="25" max="26" width="23.71"/>
    <col customWidth="1" min="27" max="27" width="61.14"/>
    <col customWidth="1" min="28" max="29" width="23.71"/>
    <col customWidth="1" min="30" max="30" width="61.14"/>
    <col customWidth="1" min="31" max="32" width="23.71"/>
    <col customWidth="1" min="33" max="33" width="61.14"/>
    <col customWidth="1" min="34" max="35" width="23.71"/>
    <col customWidth="1" min="36" max="36" width="61.14"/>
    <col customWidth="1" min="37" max="38" width="23.71"/>
    <col customWidth="1" min="39" max="39" width="61.14"/>
    <col customWidth="1" min="40" max="41" width="23.71"/>
    <col customWidth="1" min="42" max="42" width="61.14"/>
    <col customWidth="1" min="43" max="44" width="23.71"/>
    <col customWidth="1" min="45" max="45" width="61.14"/>
    <col customWidth="1" min="46" max="46" width="23.71"/>
  </cols>
  <sheetData>
    <row r="1" ht="43.5" customHeight="1">
      <c r="A1" s="199" t="s">
        <v>1133</v>
      </c>
      <c r="B1" s="37"/>
      <c r="C1" s="37"/>
      <c r="D1" s="37"/>
      <c r="E1" s="37"/>
      <c r="F1" s="37"/>
      <c r="G1" s="37"/>
      <c r="H1" s="37"/>
      <c r="I1" s="37"/>
      <c r="J1" s="162"/>
      <c r="K1" s="139"/>
      <c r="L1" s="140"/>
      <c r="M1" s="141"/>
      <c r="N1" s="139"/>
      <c r="O1" s="140"/>
      <c r="P1" s="141"/>
      <c r="Q1" s="139"/>
      <c r="R1" s="140"/>
      <c r="S1" s="141"/>
      <c r="T1" s="139"/>
      <c r="U1" s="140"/>
      <c r="V1" s="141"/>
      <c r="W1" s="139"/>
      <c r="X1" s="140"/>
      <c r="Y1" s="141"/>
      <c r="Z1" s="139"/>
      <c r="AA1" s="140"/>
      <c r="AB1" s="141"/>
      <c r="AC1" s="139"/>
      <c r="AD1" s="140"/>
      <c r="AE1" s="141"/>
      <c r="AF1" s="139"/>
      <c r="AG1" s="140"/>
      <c r="AH1" s="141"/>
      <c r="AI1" s="139"/>
      <c r="AJ1" s="140"/>
      <c r="AK1" s="141"/>
      <c r="AL1" s="139"/>
      <c r="AM1" s="140"/>
      <c r="AN1" s="141"/>
      <c r="AO1" s="139"/>
      <c r="AP1" s="140"/>
      <c r="AQ1" s="141"/>
      <c r="AR1" s="139"/>
      <c r="AS1" s="140"/>
      <c r="AT1" s="141"/>
    </row>
    <row r="2" ht="43.5" customHeight="1">
      <c r="A2" s="163" t="s">
        <v>96</v>
      </c>
      <c r="B2" s="172" t="s">
        <v>98</v>
      </c>
      <c r="C2" s="163" t="s">
        <v>99</v>
      </c>
      <c r="D2" s="163" t="s">
        <v>100</v>
      </c>
      <c r="E2" s="164" t="s">
        <v>101</v>
      </c>
      <c r="F2" s="163" t="s">
        <v>102</v>
      </c>
      <c r="G2" s="163" t="s">
        <v>103</v>
      </c>
      <c r="H2" s="163" t="s">
        <v>104</v>
      </c>
      <c r="I2" s="163" t="s">
        <v>105</v>
      </c>
      <c r="J2" s="163" t="s">
        <v>106</v>
      </c>
      <c r="K2" s="47" t="s">
        <v>107</v>
      </c>
      <c r="L2" s="45" t="s">
        <v>108</v>
      </c>
      <c r="M2" s="126" t="s">
        <v>109</v>
      </c>
      <c r="N2" s="47" t="s">
        <v>107</v>
      </c>
      <c r="O2" s="45" t="s">
        <v>108</v>
      </c>
      <c r="P2" s="126" t="s">
        <v>109</v>
      </c>
      <c r="Q2" s="47" t="s">
        <v>107</v>
      </c>
      <c r="R2" s="45" t="s">
        <v>108</v>
      </c>
      <c r="S2" s="126" t="s">
        <v>109</v>
      </c>
      <c r="T2" s="47" t="s">
        <v>107</v>
      </c>
      <c r="U2" s="45" t="s">
        <v>108</v>
      </c>
      <c r="V2" s="126" t="s">
        <v>109</v>
      </c>
      <c r="W2" s="47" t="s">
        <v>107</v>
      </c>
      <c r="X2" s="45" t="s">
        <v>108</v>
      </c>
      <c r="Y2" s="126" t="s">
        <v>109</v>
      </c>
      <c r="Z2" s="47" t="s">
        <v>107</v>
      </c>
      <c r="AA2" s="45" t="s">
        <v>108</v>
      </c>
      <c r="AB2" s="126" t="s">
        <v>109</v>
      </c>
      <c r="AC2" s="47" t="s">
        <v>107</v>
      </c>
      <c r="AD2" s="45" t="s">
        <v>108</v>
      </c>
      <c r="AE2" s="126" t="s">
        <v>109</v>
      </c>
      <c r="AF2" s="47" t="s">
        <v>107</v>
      </c>
      <c r="AG2" s="45" t="s">
        <v>108</v>
      </c>
      <c r="AH2" s="126" t="s">
        <v>109</v>
      </c>
      <c r="AI2" s="47" t="s">
        <v>107</v>
      </c>
      <c r="AJ2" s="45" t="s">
        <v>108</v>
      </c>
      <c r="AK2" s="126" t="s">
        <v>109</v>
      </c>
      <c r="AL2" s="47" t="s">
        <v>107</v>
      </c>
      <c r="AM2" s="45" t="s">
        <v>108</v>
      </c>
      <c r="AN2" s="126" t="s">
        <v>109</v>
      </c>
      <c r="AO2" s="47" t="s">
        <v>107</v>
      </c>
      <c r="AP2" s="45" t="s">
        <v>108</v>
      </c>
      <c r="AQ2" s="126" t="s">
        <v>109</v>
      </c>
      <c r="AR2" s="47" t="s">
        <v>107</v>
      </c>
      <c r="AS2" s="45" t="s">
        <v>108</v>
      </c>
      <c r="AT2" s="126" t="s">
        <v>109</v>
      </c>
    </row>
    <row r="3" ht="43.5" customHeight="1">
      <c r="A3" s="177" t="s">
        <v>1134</v>
      </c>
      <c r="B3" s="170" t="s">
        <v>1013</v>
      </c>
      <c r="C3" s="200" t="s">
        <v>1014</v>
      </c>
      <c r="D3" s="166" t="s">
        <v>1015</v>
      </c>
      <c r="E3" s="169">
        <v>2.0</v>
      </c>
      <c r="F3" s="200">
        <v>1000.0</v>
      </c>
      <c r="G3" s="167">
        <f>'PAINEL DE CONTROLE'!$J$7</f>
        <v>6673</v>
      </c>
      <c r="H3" s="168">
        <v>0.0</v>
      </c>
      <c r="I3" s="166">
        <f t="shared" ref="I3:I20" si="1">SUM(H3+F3)</f>
        <v>1000</v>
      </c>
      <c r="J3" s="167">
        <f t="shared" ref="J3:J20" si="2">SUM(I3-G3)</f>
        <v>-5673</v>
      </c>
      <c r="K3" s="60"/>
      <c r="L3" s="31"/>
      <c r="M3" s="61"/>
      <c r="N3" s="60"/>
      <c r="O3" s="31"/>
      <c r="P3" s="61"/>
      <c r="Q3" s="60"/>
      <c r="R3" s="31"/>
      <c r="S3" s="61"/>
      <c r="T3" s="60"/>
      <c r="U3" s="31"/>
      <c r="V3" s="61"/>
      <c r="W3" s="60"/>
      <c r="X3" s="31"/>
      <c r="Y3" s="61"/>
      <c r="Z3" s="60"/>
      <c r="AA3" s="31"/>
      <c r="AB3" s="61"/>
      <c r="AC3" s="60"/>
      <c r="AD3" s="31"/>
      <c r="AE3" s="61"/>
      <c r="AF3" s="60"/>
      <c r="AG3" s="31"/>
      <c r="AH3" s="61"/>
      <c r="AI3" s="60"/>
      <c r="AJ3" s="31"/>
      <c r="AK3" s="61"/>
      <c r="AL3" s="60"/>
      <c r="AM3" s="31"/>
      <c r="AN3" s="61"/>
      <c r="AO3" s="60"/>
      <c r="AP3" s="31"/>
      <c r="AQ3" s="61"/>
      <c r="AR3" s="60"/>
      <c r="AS3" s="31"/>
      <c r="AT3" s="61"/>
    </row>
    <row r="4" ht="43.5" customHeight="1">
      <c r="A4" s="63"/>
      <c r="B4" s="176" t="s">
        <v>1016</v>
      </c>
      <c r="C4" s="2"/>
      <c r="D4" s="3"/>
      <c r="E4" s="169" t="s">
        <v>113</v>
      </c>
      <c r="F4" s="200">
        <v>500.0</v>
      </c>
      <c r="G4" s="167">
        <f>'PAINEL DE CONTROLE'!$J$7</f>
        <v>6673</v>
      </c>
      <c r="H4" s="168">
        <v>1122.0</v>
      </c>
      <c r="I4" s="166">
        <f t="shared" si="1"/>
        <v>1622</v>
      </c>
      <c r="J4" s="167">
        <f t="shared" si="2"/>
        <v>-5051</v>
      </c>
      <c r="K4" s="60"/>
      <c r="L4" s="31"/>
      <c r="M4" s="61"/>
      <c r="N4" s="60"/>
      <c r="O4" s="31"/>
      <c r="P4" s="61"/>
      <c r="Q4" s="60"/>
      <c r="R4" s="31"/>
      <c r="S4" s="61"/>
      <c r="T4" s="60"/>
      <c r="U4" s="31"/>
      <c r="V4" s="61"/>
      <c r="W4" s="60"/>
      <c r="X4" s="31"/>
      <c r="Y4" s="61"/>
      <c r="Z4" s="60"/>
      <c r="AA4" s="31"/>
      <c r="AB4" s="61"/>
      <c r="AC4" s="60"/>
      <c r="AD4" s="31"/>
      <c r="AE4" s="61"/>
      <c r="AF4" s="60"/>
      <c r="AG4" s="31"/>
      <c r="AH4" s="61"/>
      <c r="AI4" s="60"/>
      <c r="AJ4" s="31"/>
      <c r="AK4" s="61"/>
      <c r="AL4" s="60"/>
      <c r="AM4" s="31"/>
      <c r="AN4" s="61"/>
      <c r="AO4" s="60"/>
      <c r="AP4" s="31"/>
      <c r="AQ4" s="61"/>
      <c r="AR4" s="60"/>
      <c r="AS4" s="31"/>
      <c r="AT4" s="61"/>
    </row>
    <row r="5" ht="43.5" customHeight="1">
      <c r="A5" s="177" t="s">
        <v>1135</v>
      </c>
      <c r="B5" s="170" t="s">
        <v>1018</v>
      </c>
      <c r="C5" s="200" t="s">
        <v>1019</v>
      </c>
      <c r="D5" s="166" t="s">
        <v>624</v>
      </c>
      <c r="E5" s="166">
        <v>2.0</v>
      </c>
      <c r="F5" s="200">
        <v>2000.0</v>
      </c>
      <c r="G5" s="167">
        <f>'PAINEL DE CONTROLE'!$J$7</f>
        <v>6673</v>
      </c>
      <c r="H5" s="168">
        <v>0.0</v>
      </c>
      <c r="I5" s="166">
        <f t="shared" si="1"/>
        <v>2000</v>
      </c>
      <c r="J5" s="167">
        <f t="shared" si="2"/>
        <v>-4673</v>
      </c>
      <c r="K5" s="60"/>
      <c r="L5" s="31"/>
      <c r="M5" s="61"/>
      <c r="N5" s="60"/>
      <c r="O5" s="31"/>
      <c r="P5" s="61"/>
      <c r="Q5" s="60"/>
      <c r="R5" s="31"/>
      <c r="S5" s="61"/>
      <c r="T5" s="60"/>
      <c r="U5" s="31"/>
      <c r="V5" s="61"/>
      <c r="W5" s="60"/>
      <c r="X5" s="31"/>
      <c r="Y5" s="61"/>
      <c r="Z5" s="60"/>
      <c r="AA5" s="31"/>
      <c r="AB5" s="61"/>
      <c r="AC5" s="60"/>
      <c r="AD5" s="31"/>
      <c r="AE5" s="61"/>
      <c r="AF5" s="60"/>
      <c r="AG5" s="31"/>
      <c r="AH5" s="61"/>
      <c r="AI5" s="60"/>
      <c r="AJ5" s="31"/>
      <c r="AK5" s="61"/>
      <c r="AL5" s="60"/>
      <c r="AM5" s="31"/>
      <c r="AN5" s="61"/>
      <c r="AO5" s="60"/>
      <c r="AP5" s="31"/>
      <c r="AQ5" s="61"/>
      <c r="AR5" s="60"/>
      <c r="AS5" s="31"/>
      <c r="AT5" s="61"/>
    </row>
    <row r="6" ht="43.5" customHeight="1">
      <c r="A6" s="62"/>
      <c r="B6" s="170" t="s">
        <v>1020</v>
      </c>
      <c r="C6" s="200" t="s">
        <v>820</v>
      </c>
      <c r="D6" s="166" t="s">
        <v>990</v>
      </c>
      <c r="E6" s="166">
        <v>4.0</v>
      </c>
      <c r="F6" s="200">
        <v>2000.0</v>
      </c>
      <c r="G6" s="167">
        <f>'PAINEL DE CONTROLE'!$J$7</f>
        <v>6673</v>
      </c>
      <c r="H6" s="168">
        <v>0.0</v>
      </c>
      <c r="I6" s="167">
        <f t="shared" si="1"/>
        <v>2000</v>
      </c>
      <c r="J6" s="167">
        <f t="shared" si="2"/>
        <v>-4673</v>
      </c>
      <c r="K6" s="60"/>
      <c r="L6" s="31"/>
      <c r="M6" s="61"/>
      <c r="N6" s="60"/>
      <c r="O6" s="31"/>
      <c r="P6" s="61"/>
      <c r="Q6" s="60"/>
      <c r="R6" s="31"/>
      <c r="S6" s="61"/>
      <c r="T6" s="60"/>
      <c r="U6" s="31"/>
      <c r="V6" s="61"/>
      <c r="W6" s="60"/>
      <c r="X6" s="31"/>
      <c r="Y6" s="61"/>
      <c r="Z6" s="60"/>
      <c r="AA6" s="31"/>
      <c r="AB6" s="61"/>
      <c r="AC6" s="60"/>
      <c r="AD6" s="31"/>
      <c r="AE6" s="61"/>
      <c r="AF6" s="60"/>
      <c r="AG6" s="31"/>
      <c r="AH6" s="61"/>
      <c r="AI6" s="60"/>
      <c r="AJ6" s="31"/>
      <c r="AK6" s="61"/>
      <c r="AL6" s="60"/>
      <c r="AM6" s="31"/>
      <c r="AN6" s="61"/>
      <c r="AO6" s="60"/>
      <c r="AP6" s="31"/>
      <c r="AQ6" s="61"/>
      <c r="AR6" s="60"/>
      <c r="AS6" s="31"/>
      <c r="AT6" s="61"/>
    </row>
    <row r="7" ht="43.5" customHeight="1">
      <c r="A7" s="62"/>
      <c r="B7" s="170" t="s">
        <v>1021</v>
      </c>
      <c r="C7" s="200" t="s">
        <v>1022</v>
      </c>
      <c r="D7" s="166" t="s">
        <v>1023</v>
      </c>
      <c r="E7" s="169">
        <v>10.0</v>
      </c>
      <c r="F7" s="200">
        <v>2000.0</v>
      </c>
      <c r="G7" s="167">
        <f>'PAINEL DE CONTROLE'!$J$7</f>
        <v>6673</v>
      </c>
      <c r="H7" s="168">
        <v>0.0</v>
      </c>
      <c r="I7" s="166">
        <f t="shared" si="1"/>
        <v>2000</v>
      </c>
      <c r="J7" s="167">
        <f t="shared" si="2"/>
        <v>-4673</v>
      </c>
      <c r="K7" s="60"/>
      <c r="L7" s="31"/>
      <c r="M7" s="61"/>
      <c r="N7" s="60"/>
      <c r="O7" s="31"/>
      <c r="P7" s="61"/>
      <c r="Q7" s="60"/>
      <c r="R7" s="31"/>
      <c r="S7" s="61"/>
      <c r="T7" s="60"/>
      <c r="U7" s="31"/>
      <c r="V7" s="61"/>
      <c r="W7" s="60"/>
      <c r="X7" s="31"/>
      <c r="Y7" s="61"/>
      <c r="Z7" s="60"/>
      <c r="AA7" s="31"/>
      <c r="AB7" s="61"/>
      <c r="AC7" s="60"/>
      <c r="AD7" s="31"/>
      <c r="AE7" s="61"/>
      <c r="AF7" s="60"/>
      <c r="AG7" s="31"/>
      <c r="AH7" s="61"/>
      <c r="AI7" s="60"/>
      <c r="AJ7" s="31"/>
      <c r="AK7" s="61"/>
      <c r="AL7" s="60"/>
      <c r="AM7" s="31"/>
      <c r="AN7" s="61"/>
      <c r="AO7" s="60"/>
      <c r="AP7" s="31"/>
      <c r="AQ7" s="61"/>
      <c r="AR7" s="60"/>
      <c r="AS7" s="31"/>
      <c r="AT7" s="61"/>
    </row>
    <row r="8" ht="43.5" customHeight="1">
      <c r="A8" s="62"/>
      <c r="B8" s="170" t="s">
        <v>1024</v>
      </c>
      <c r="C8" s="200" t="s">
        <v>1025</v>
      </c>
      <c r="D8" s="166" t="s">
        <v>624</v>
      </c>
      <c r="E8" s="169">
        <v>2.0</v>
      </c>
      <c r="F8" s="200">
        <v>2000.0</v>
      </c>
      <c r="G8" s="167">
        <f>'PAINEL DE CONTROLE'!$J$7</f>
        <v>6673</v>
      </c>
      <c r="H8" s="168">
        <v>0.0</v>
      </c>
      <c r="I8" s="166">
        <f t="shared" si="1"/>
        <v>2000</v>
      </c>
      <c r="J8" s="167">
        <f t="shared" si="2"/>
        <v>-4673</v>
      </c>
      <c r="K8" s="60"/>
      <c r="L8" s="31"/>
      <c r="M8" s="61"/>
      <c r="N8" s="60"/>
      <c r="O8" s="31"/>
      <c r="P8" s="61"/>
      <c r="Q8" s="60"/>
      <c r="R8" s="31"/>
      <c r="S8" s="61"/>
      <c r="T8" s="60"/>
      <c r="U8" s="31"/>
      <c r="V8" s="61"/>
      <c r="W8" s="60"/>
      <c r="X8" s="31"/>
      <c r="Y8" s="61"/>
      <c r="Z8" s="60"/>
      <c r="AA8" s="31"/>
      <c r="AB8" s="61"/>
      <c r="AC8" s="60"/>
      <c r="AD8" s="31"/>
      <c r="AE8" s="61"/>
      <c r="AF8" s="60"/>
      <c r="AG8" s="31"/>
      <c r="AH8" s="61"/>
      <c r="AI8" s="60"/>
      <c r="AJ8" s="31"/>
      <c r="AK8" s="61"/>
      <c r="AL8" s="60"/>
      <c r="AM8" s="31"/>
      <c r="AN8" s="61"/>
      <c r="AO8" s="60"/>
      <c r="AP8" s="31"/>
      <c r="AQ8" s="61"/>
      <c r="AR8" s="60"/>
      <c r="AS8" s="31"/>
      <c r="AT8" s="61"/>
    </row>
    <row r="9" ht="43.5" customHeight="1">
      <c r="A9" s="62"/>
      <c r="B9" s="170" t="s">
        <v>1026</v>
      </c>
      <c r="C9" s="200" t="s">
        <v>1027</v>
      </c>
      <c r="D9" s="166" t="s">
        <v>605</v>
      </c>
      <c r="E9" s="169">
        <v>4.0</v>
      </c>
      <c r="F9" s="200">
        <v>2000.0</v>
      </c>
      <c r="G9" s="167">
        <f>'PAINEL DE CONTROLE'!$J$7</f>
        <v>6673</v>
      </c>
      <c r="H9" s="168">
        <v>0.0</v>
      </c>
      <c r="I9" s="166">
        <f t="shared" si="1"/>
        <v>2000</v>
      </c>
      <c r="J9" s="167">
        <f t="shared" si="2"/>
        <v>-4673</v>
      </c>
      <c r="K9" s="60"/>
      <c r="L9" s="31"/>
      <c r="M9" s="61"/>
      <c r="N9" s="60"/>
      <c r="O9" s="31"/>
      <c r="P9" s="61"/>
      <c r="Q9" s="60"/>
      <c r="R9" s="31"/>
      <c r="S9" s="61"/>
      <c r="T9" s="60"/>
      <c r="U9" s="31"/>
      <c r="V9" s="61"/>
      <c r="W9" s="60"/>
      <c r="X9" s="31"/>
      <c r="Y9" s="61"/>
      <c r="Z9" s="60"/>
      <c r="AA9" s="31"/>
      <c r="AB9" s="61"/>
      <c r="AC9" s="60"/>
      <c r="AD9" s="31"/>
      <c r="AE9" s="61"/>
      <c r="AF9" s="60"/>
      <c r="AG9" s="31"/>
      <c r="AH9" s="61"/>
      <c r="AI9" s="60"/>
      <c r="AJ9" s="31"/>
      <c r="AK9" s="61"/>
      <c r="AL9" s="60"/>
      <c r="AM9" s="31"/>
      <c r="AN9" s="61"/>
      <c r="AO9" s="60"/>
      <c r="AP9" s="31"/>
      <c r="AQ9" s="61"/>
      <c r="AR9" s="60"/>
      <c r="AS9" s="31"/>
      <c r="AT9" s="61"/>
    </row>
    <row r="10" ht="43.5" customHeight="1">
      <c r="A10" s="62"/>
      <c r="B10" s="170" t="s">
        <v>1028</v>
      </c>
      <c r="C10" s="200" t="s">
        <v>1029</v>
      </c>
      <c r="D10" s="166" t="s">
        <v>624</v>
      </c>
      <c r="E10" s="169">
        <v>4.0</v>
      </c>
      <c r="F10" s="200">
        <v>2000.0</v>
      </c>
      <c r="G10" s="167">
        <f>'PAINEL DE CONTROLE'!$J$7</f>
        <v>6673</v>
      </c>
      <c r="H10" s="168">
        <v>0.0</v>
      </c>
      <c r="I10" s="166">
        <f t="shared" si="1"/>
        <v>2000</v>
      </c>
      <c r="J10" s="167">
        <f t="shared" si="2"/>
        <v>-4673</v>
      </c>
      <c r="K10" s="60"/>
      <c r="L10" s="31"/>
      <c r="M10" s="61"/>
      <c r="N10" s="60"/>
      <c r="O10" s="31"/>
      <c r="P10" s="61"/>
      <c r="Q10" s="60"/>
      <c r="R10" s="31"/>
      <c r="S10" s="61"/>
      <c r="T10" s="60"/>
      <c r="U10" s="31"/>
      <c r="V10" s="61"/>
      <c r="W10" s="60"/>
      <c r="X10" s="31"/>
      <c r="Y10" s="61"/>
      <c r="Z10" s="60"/>
      <c r="AA10" s="31"/>
      <c r="AB10" s="61"/>
      <c r="AC10" s="60"/>
      <c r="AD10" s="31"/>
      <c r="AE10" s="61"/>
      <c r="AF10" s="60"/>
      <c r="AG10" s="31"/>
      <c r="AH10" s="61"/>
      <c r="AI10" s="60"/>
      <c r="AJ10" s="31"/>
      <c r="AK10" s="61"/>
      <c r="AL10" s="60"/>
      <c r="AM10" s="31"/>
      <c r="AN10" s="61"/>
      <c r="AO10" s="60"/>
      <c r="AP10" s="31"/>
      <c r="AQ10" s="61"/>
      <c r="AR10" s="60"/>
      <c r="AS10" s="31"/>
      <c r="AT10" s="61"/>
    </row>
    <row r="11" ht="43.5" customHeight="1">
      <c r="A11" s="62"/>
      <c r="B11" s="170" t="s">
        <v>1030</v>
      </c>
      <c r="C11" s="200" t="s">
        <v>1031</v>
      </c>
      <c r="D11" s="166" t="s">
        <v>624</v>
      </c>
      <c r="E11" s="169">
        <v>8.0</v>
      </c>
      <c r="F11" s="200">
        <v>2000.0</v>
      </c>
      <c r="G11" s="167">
        <f>'PAINEL DE CONTROLE'!$J$7</f>
        <v>6673</v>
      </c>
      <c r="H11" s="168">
        <v>0.0</v>
      </c>
      <c r="I11" s="166">
        <f t="shared" si="1"/>
        <v>2000</v>
      </c>
      <c r="J11" s="167">
        <f t="shared" si="2"/>
        <v>-4673</v>
      </c>
      <c r="K11" s="60"/>
      <c r="L11" s="31"/>
      <c r="M11" s="61"/>
      <c r="N11" s="60"/>
      <c r="O11" s="31"/>
      <c r="P11" s="61"/>
      <c r="Q11" s="60"/>
      <c r="R11" s="31"/>
      <c r="S11" s="61"/>
      <c r="T11" s="60"/>
      <c r="U11" s="31"/>
      <c r="V11" s="61"/>
      <c r="W11" s="60"/>
      <c r="X11" s="31"/>
      <c r="Y11" s="61"/>
      <c r="Z11" s="60"/>
      <c r="AA11" s="31"/>
      <c r="AB11" s="61"/>
      <c r="AC11" s="60"/>
      <c r="AD11" s="31"/>
      <c r="AE11" s="61"/>
      <c r="AF11" s="60"/>
      <c r="AG11" s="31"/>
      <c r="AH11" s="61"/>
      <c r="AI11" s="60"/>
      <c r="AJ11" s="31"/>
      <c r="AK11" s="61"/>
      <c r="AL11" s="60"/>
      <c r="AM11" s="31"/>
      <c r="AN11" s="61"/>
      <c r="AO11" s="60"/>
      <c r="AP11" s="31"/>
      <c r="AQ11" s="61"/>
      <c r="AR11" s="60"/>
      <c r="AS11" s="31"/>
      <c r="AT11" s="61"/>
    </row>
    <row r="12" ht="43.5" customHeight="1">
      <c r="A12" s="62"/>
      <c r="B12" s="170"/>
      <c r="C12" s="200" t="s">
        <v>1032</v>
      </c>
      <c r="D12" s="166" t="s">
        <v>634</v>
      </c>
      <c r="E12" s="169">
        <v>4.0</v>
      </c>
      <c r="F12" s="200">
        <v>2000.0</v>
      </c>
      <c r="G12" s="167">
        <f>'PAINEL DE CONTROLE'!$J$7</f>
        <v>6673</v>
      </c>
      <c r="H12" s="168">
        <v>0.0</v>
      </c>
      <c r="I12" s="166">
        <f t="shared" si="1"/>
        <v>2000</v>
      </c>
      <c r="J12" s="167">
        <f t="shared" si="2"/>
        <v>-4673</v>
      </c>
      <c r="K12" s="60"/>
      <c r="L12" s="31"/>
      <c r="M12" s="61"/>
      <c r="N12" s="60"/>
      <c r="O12" s="31"/>
      <c r="P12" s="61"/>
      <c r="Q12" s="60"/>
      <c r="R12" s="31"/>
      <c r="S12" s="61"/>
      <c r="T12" s="60"/>
      <c r="U12" s="31"/>
      <c r="V12" s="61"/>
      <c r="W12" s="60"/>
      <c r="X12" s="31"/>
      <c r="Y12" s="61"/>
      <c r="Z12" s="60"/>
      <c r="AA12" s="31"/>
      <c r="AB12" s="61"/>
      <c r="AC12" s="60"/>
      <c r="AD12" s="31"/>
      <c r="AE12" s="61"/>
      <c r="AF12" s="60"/>
      <c r="AG12" s="31"/>
      <c r="AH12" s="61"/>
      <c r="AI12" s="60"/>
      <c r="AJ12" s="31"/>
      <c r="AK12" s="61"/>
      <c r="AL12" s="60"/>
      <c r="AM12" s="31"/>
      <c r="AN12" s="61"/>
      <c r="AO12" s="60"/>
      <c r="AP12" s="31"/>
      <c r="AQ12" s="61"/>
      <c r="AR12" s="60"/>
      <c r="AS12" s="31"/>
      <c r="AT12" s="61"/>
    </row>
    <row r="13" ht="43.5" customHeight="1">
      <c r="A13" s="62"/>
      <c r="B13" s="170"/>
      <c r="C13" s="201" t="s">
        <v>1033</v>
      </c>
      <c r="D13" s="166" t="s">
        <v>1034</v>
      </c>
      <c r="E13" s="202">
        <v>8.0</v>
      </c>
      <c r="F13" s="200">
        <v>2000.0</v>
      </c>
      <c r="G13" s="167">
        <f>'PAINEL DE CONTROLE'!$J$7</f>
        <v>6673</v>
      </c>
      <c r="H13" s="168">
        <v>0.0</v>
      </c>
      <c r="I13" s="166">
        <f t="shared" si="1"/>
        <v>2000</v>
      </c>
      <c r="J13" s="167">
        <f t="shared" si="2"/>
        <v>-4673</v>
      </c>
      <c r="K13" s="60"/>
      <c r="L13" s="31"/>
      <c r="M13" s="61"/>
      <c r="N13" s="60"/>
      <c r="O13" s="31"/>
      <c r="P13" s="61"/>
      <c r="Q13" s="60"/>
      <c r="R13" s="31"/>
      <c r="S13" s="61"/>
      <c r="T13" s="60"/>
      <c r="U13" s="31"/>
      <c r="V13" s="61"/>
      <c r="W13" s="60"/>
      <c r="X13" s="31"/>
      <c r="Y13" s="61"/>
      <c r="Z13" s="60"/>
      <c r="AA13" s="31"/>
      <c r="AB13" s="61"/>
      <c r="AC13" s="60"/>
      <c r="AD13" s="31"/>
      <c r="AE13" s="61"/>
      <c r="AF13" s="60"/>
      <c r="AG13" s="31"/>
      <c r="AH13" s="61"/>
      <c r="AI13" s="60"/>
      <c r="AJ13" s="31"/>
      <c r="AK13" s="61"/>
      <c r="AL13" s="60"/>
      <c r="AM13" s="31"/>
      <c r="AN13" s="61"/>
      <c r="AO13" s="60"/>
      <c r="AP13" s="31"/>
      <c r="AQ13" s="61"/>
      <c r="AR13" s="60"/>
      <c r="AS13" s="31"/>
      <c r="AT13" s="61"/>
    </row>
    <row r="14" ht="43.5" customHeight="1">
      <c r="A14" s="177" t="s">
        <v>1136</v>
      </c>
      <c r="B14" s="170" t="s">
        <v>1036</v>
      </c>
      <c r="C14" s="200" t="s">
        <v>1037</v>
      </c>
      <c r="D14" s="166" t="s">
        <v>634</v>
      </c>
      <c r="E14" s="169">
        <v>2.0</v>
      </c>
      <c r="F14" s="200">
        <v>3000.0</v>
      </c>
      <c r="G14" s="167">
        <f>'PAINEL DE CONTROLE'!$J$7</f>
        <v>6673</v>
      </c>
      <c r="H14" s="168">
        <v>0.0</v>
      </c>
      <c r="I14" s="166">
        <f t="shared" si="1"/>
        <v>3000</v>
      </c>
      <c r="J14" s="167">
        <f t="shared" si="2"/>
        <v>-3673</v>
      </c>
      <c r="K14" s="60"/>
      <c r="L14" s="31"/>
      <c r="M14" s="61"/>
      <c r="N14" s="60"/>
      <c r="O14" s="31"/>
      <c r="P14" s="61"/>
      <c r="Q14" s="60"/>
      <c r="R14" s="31"/>
      <c r="S14" s="61"/>
      <c r="T14" s="60"/>
      <c r="U14" s="31"/>
      <c r="V14" s="61"/>
      <c r="W14" s="60"/>
      <c r="X14" s="31"/>
      <c r="Y14" s="61"/>
      <c r="Z14" s="60"/>
      <c r="AA14" s="31"/>
      <c r="AB14" s="61"/>
      <c r="AC14" s="60"/>
      <c r="AD14" s="31"/>
      <c r="AE14" s="61"/>
      <c r="AF14" s="60"/>
      <c r="AG14" s="31"/>
      <c r="AH14" s="61"/>
      <c r="AI14" s="60"/>
      <c r="AJ14" s="31"/>
      <c r="AK14" s="61"/>
      <c r="AL14" s="60"/>
      <c r="AM14" s="31"/>
      <c r="AN14" s="61"/>
      <c r="AO14" s="60"/>
      <c r="AP14" s="31"/>
      <c r="AQ14" s="61"/>
      <c r="AR14" s="60"/>
      <c r="AS14" s="31"/>
      <c r="AT14" s="61"/>
    </row>
    <row r="15" ht="43.5" customHeight="1">
      <c r="A15" s="63"/>
      <c r="B15" s="170" t="s">
        <v>1038</v>
      </c>
      <c r="C15" s="200" t="s">
        <v>1039</v>
      </c>
      <c r="D15" s="166" t="s">
        <v>1040</v>
      </c>
      <c r="E15" s="169">
        <v>8.0</v>
      </c>
      <c r="F15" s="200">
        <v>3000.0</v>
      </c>
      <c r="G15" s="167">
        <f>'PAINEL DE CONTROLE'!$J$7</f>
        <v>6673</v>
      </c>
      <c r="H15" s="168">
        <v>0.0</v>
      </c>
      <c r="I15" s="166">
        <f t="shared" si="1"/>
        <v>3000</v>
      </c>
      <c r="J15" s="167">
        <f t="shared" si="2"/>
        <v>-3673</v>
      </c>
      <c r="K15" s="60"/>
      <c r="L15" s="31"/>
      <c r="M15" s="61"/>
      <c r="N15" s="60"/>
      <c r="O15" s="31"/>
      <c r="P15" s="61"/>
      <c r="Q15" s="60"/>
      <c r="R15" s="31"/>
      <c r="S15" s="61"/>
      <c r="T15" s="60"/>
      <c r="U15" s="31"/>
      <c r="V15" s="61"/>
      <c r="W15" s="60"/>
      <c r="X15" s="31"/>
      <c r="Y15" s="61"/>
      <c r="Z15" s="60"/>
      <c r="AA15" s="31"/>
      <c r="AB15" s="61"/>
      <c r="AC15" s="60"/>
      <c r="AD15" s="31"/>
      <c r="AE15" s="61"/>
      <c r="AF15" s="60"/>
      <c r="AG15" s="31"/>
      <c r="AH15" s="61"/>
      <c r="AI15" s="60"/>
      <c r="AJ15" s="31"/>
      <c r="AK15" s="61"/>
      <c r="AL15" s="60"/>
      <c r="AM15" s="31"/>
      <c r="AN15" s="61"/>
      <c r="AO15" s="60"/>
      <c r="AP15" s="31"/>
      <c r="AQ15" s="61"/>
      <c r="AR15" s="60"/>
      <c r="AS15" s="31"/>
      <c r="AT15" s="61"/>
    </row>
    <row r="16" ht="43.5" customHeight="1">
      <c r="A16" s="177" t="s">
        <v>1041</v>
      </c>
      <c r="B16" s="170"/>
      <c r="C16" s="200" t="s">
        <v>1042</v>
      </c>
      <c r="D16" s="166" t="s">
        <v>1043</v>
      </c>
      <c r="E16" s="169">
        <v>12.0</v>
      </c>
      <c r="F16" s="200">
        <v>4000.0</v>
      </c>
      <c r="G16" s="167">
        <f>'PAINEL DE CONTROLE'!$J$7</f>
        <v>6673</v>
      </c>
      <c r="H16" s="168">
        <v>0.0</v>
      </c>
      <c r="I16" s="166">
        <f t="shared" si="1"/>
        <v>4000</v>
      </c>
      <c r="J16" s="167">
        <f t="shared" si="2"/>
        <v>-2673</v>
      </c>
      <c r="K16" s="60"/>
      <c r="L16" s="31"/>
      <c r="M16" s="61"/>
      <c r="N16" s="60"/>
      <c r="O16" s="31"/>
      <c r="P16" s="61"/>
      <c r="Q16" s="60"/>
      <c r="R16" s="31"/>
      <c r="S16" s="61"/>
      <c r="T16" s="60"/>
      <c r="U16" s="31"/>
      <c r="V16" s="61"/>
      <c r="W16" s="60"/>
      <c r="X16" s="31"/>
      <c r="Y16" s="61"/>
      <c r="Z16" s="60"/>
      <c r="AA16" s="31"/>
      <c r="AB16" s="61"/>
      <c r="AC16" s="60"/>
      <c r="AD16" s="31"/>
      <c r="AE16" s="61"/>
      <c r="AF16" s="60"/>
      <c r="AG16" s="31"/>
      <c r="AH16" s="61"/>
      <c r="AI16" s="60"/>
      <c r="AJ16" s="31"/>
      <c r="AK16" s="61"/>
      <c r="AL16" s="60"/>
      <c r="AM16" s="31"/>
      <c r="AN16" s="61"/>
      <c r="AO16" s="60"/>
      <c r="AP16" s="31"/>
      <c r="AQ16" s="61"/>
      <c r="AR16" s="60"/>
      <c r="AS16" s="31"/>
      <c r="AT16" s="61"/>
    </row>
    <row r="17" ht="43.5" customHeight="1">
      <c r="A17" s="62"/>
      <c r="B17" s="170"/>
      <c r="C17" s="200" t="s">
        <v>1044</v>
      </c>
      <c r="D17" s="166" t="s">
        <v>742</v>
      </c>
      <c r="E17" s="169">
        <v>4.0</v>
      </c>
      <c r="F17" s="200">
        <v>4000.0</v>
      </c>
      <c r="G17" s="167">
        <f>'PAINEL DE CONTROLE'!$J$7</f>
        <v>6673</v>
      </c>
      <c r="H17" s="168">
        <v>0.0</v>
      </c>
      <c r="I17" s="166">
        <f t="shared" si="1"/>
        <v>4000</v>
      </c>
      <c r="J17" s="167">
        <f t="shared" si="2"/>
        <v>-2673</v>
      </c>
      <c r="K17" s="60"/>
      <c r="L17" s="31"/>
      <c r="M17" s="61"/>
      <c r="N17" s="60"/>
      <c r="O17" s="31"/>
      <c r="P17" s="61"/>
      <c r="Q17" s="60"/>
      <c r="R17" s="31"/>
      <c r="S17" s="61"/>
      <c r="T17" s="60"/>
      <c r="U17" s="31"/>
      <c r="V17" s="61"/>
      <c r="W17" s="60"/>
      <c r="X17" s="31"/>
      <c r="Y17" s="61"/>
      <c r="Z17" s="60"/>
      <c r="AA17" s="31"/>
      <c r="AB17" s="61"/>
      <c r="AC17" s="60"/>
      <c r="AD17" s="31"/>
      <c r="AE17" s="61"/>
      <c r="AF17" s="60"/>
      <c r="AG17" s="31"/>
      <c r="AH17" s="61"/>
      <c r="AI17" s="60"/>
      <c r="AJ17" s="31"/>
      <c r="AK17" s="61"/>
      <c r="AL17" s="60"/>
      <c r="AM17" s="31"/>
      <c r="AN17" s="61"/>
      <c r="AO17" s="60"/>
      <c r="AP17" s="31"/>
      <c r="AQ17" s="61"/>
      <c r="AR17" s="60"/>
      <c r="AS17" s="31"/>
      <c r="AT17" s="61"/>
    </row>
    <row r="18" ht="43.5" customHeight="1">
      <c r="A18" s="62"/>
      <c r="B18" s="170"/>
      <c r="C18" s="200" t="s">
        <v>1045</v>
      </c>
      <c r="D18" s="166" t="s">
        <v>605</v>
      </c>
      <c r="E18" s="169">
        <v>2.0</v>
      </c>
      <c r="F18" s="200">
        <v>4000.0</v>
      </c>
      <c r="G18" s="167">
        <f>'PAINEL DE CONTROLE'!$J$7</f>
        <v>6673</v>
      </c>
      <c r="H18" s="168">
        <v>0.0</v>
      </c>
      <c r="I18" s="166">
        <f t="shared" si="1"/>
        <v>4000</v>
      </c>
      <c r="J18" s="167">
        <f t="shared" si="2"/>
        <v>-2673</v>
      </c>
      <c r="K18" s="60"/>
      <c r="L18" s="31"/>
      <c r="M18" s="61"/>
      <c r="N18" s="60"/>
      <c r="O18" s="31"/>
      <c r="P18" s="61"/>
      <c r="Q18" s="60"/>
      <c r="R18" s="31"/>
      <c r="S18" s="61"/>
      <c r="T18" s="60"/>
      <c r="U18" s="31"/>
      <c r="V18" s="61"/>
      <c r="W18" s="60"/>
      <c r="X18" s="31"/>
      <c r="Y18" s="61"/>
      <c r="Z18" s="60"/>
      <c r="AA18" s="31"/>
      <c r="AB18" s="61"/>
      <c r="AC18" s="60"/>
      <c r="AD18" s="31"/>
      <c r="AE18" s="61"/>
      <c r="AF18" s="60"/>
      <c r="AG18" s="31"/>
      <c r="AH18" s="61"/>
      <c r="AI18" s="60"/>
      <c r="AJ18" s="31"/>
      <c r="AK18" s="61"/>
      <c r="AL18" s="60"/>
      <c r="AM18" s="31"/>
      <c r="AN18" s="61"/>
      <c r="AO18" s="60"/>
      <c r="AP18" s="31"/>
      <c r="AQ18" s="61"/>
      <c r="AR18" s="60"/>
      <c r="AS18" s="31"/>
      <c r="AT18" s="61"/>
    </row>
    <row r="19" ht="43.5" customHeight="1">
      <c r="A19" s="63"/>
      <c r="B19" s="170"/>
      <c r="C19" s="200" t="s">
        <v>1046</v>
      </c>
      <c r="D19" s="166" t="s">
        <v>742</v>
      </c>
      <c r="E19" s="169">
        <v>2.0</v>
      </c>
      <c r="F19" s="200">
        <v>4000.0</v>
      </c>
      <c r="G19" s="167">
        <f>'PAINEL DE CONTROLE'!$J$7</f>
        <v>6673</v>
      </c>
      <c r="H19" s="168">
        <v>0.0</v>
      </c>
      <c r="I19" s="166">
        <f t="shared" si="1"/>
        <v>4000</v>
      </c>
      <c r="J19" s="167">
        <f t="shared" si="2"/>
        <v>-2673</v>
      </c>
      <c r="K19" s="60"/>
      <c r="L19" s="31"/>
      <c r="M19" s="61"/>
      <c r="N19" s="60"/>
      <c r="O19" s="31"/>
      <c r="P19" s="61"/>
      <c r="Q19" s="60"/>
      <c r="R19" s="31"/>
      <c r="S19" s="61"/>
      <c r="T19" s="60"/>
      <c r="U19" s="31"/>
      <c r="V19" s="61"/>
      <c r="W19" s="60"/>
      <c r="X19" s="31"/>
      <c r="Y19" s="61"/>
      <c r="Z19" s="60"/>
      <c r="AA19" s="31"/>
      <c r="AB19" s="61"/>
      <c r="AC19" s="60"/>
      <c r="AD19" s="31"/>
      <c r="AE19" s="61"/>
      <c r="AF19" s="60"/>
      <c r="AG19" s="31"/>
      <c r="AH19" s="61"/>
      <c r="AI19" s="60"/>
      <c r="AJ19" s="31"/>
      <c r="AK19" s="61"/>
      <c r="AL19" s="60"/>
      <c r="AM19" s="31"/>
      <c r="AN19" s="61"/>
      <c r="AO19" s="60"/>
      <c r="AP19" s="31"/>
      <c r="AQ19" s="61"/>
      <c r="AR19" s="60"/>
      <c r="AS19" s="31"/>
      <c r="AT19" s="61"/>
    </row>
    <row r="20" ht="43.5" customHeight="1">
      <c r="A20" s="170" t="s">
        <v>1137</v>
      </c>
      <c r="B20" s="170" t="s">
        <v>1048</v>
      </c>
      <c r="C20" s="200" t="s">
        <v>1049</v>
      </c>
      <c r="D20" s="166" t="s">
        <v>1050</v>
      </c>
      <c r="E20" s="169">
        <v>1.0</v>
      </c>
      <c r="F20" s="200">
        <v>6000.0</v>
      </c>
      <c r="G20" s="167">
        <f>'PAINEL DE CONTROLE'!$J$7</f>
        <v>6673</v>
      </c>
      <c r="H20" s="168">
        <v>0.0</v>
      </c>
      <c r="I20" s="166">
        <f t="shared" si="1"/>
        <v>6000</v>
      </c>
      <c r="J20" s="167">
        <f t="shared" si="2"/>
        <v>-673</v>
      </c>
      <c r="K20" s="107"/>
      <c r="L20" s="108"/>
      <c r="M20" s="109"/>
      <c r="N20" s="107"/>
      <c r="O20" s="108"/>
      <c r="P20" s="109"/>
      <c r="Q20" s="107"/>
      <c r="R20" s="108"/>
      <c r="S20" s="109"/>
      <c r="T20" s="107"/>
      <c r="U20" s="108"/>
      <c r="V20" s="109"/>
      <c r="W20" s="107"/>
      <c r="X20" s="108"/>
      <c r="Y20" s="109"/>
      <c r="Z20" s="107"/>
      <c r="AA20" s="108"/>
      <c r="AB20" s="109"/>
      <c r="AC20" s="107"/>
      <c r="AD20" s="108"/>
      <c r="AE20" s="109"/>
      <c r="AF20" s="107"/>
      <c r="AG20" s="108"/>
      <c r="AH20" s="109"/>
      <c r="AI20" s="107"/>
      <c r="AJ20" s="108"/>
      <c r="AK20" s="109"/>
      <c r="AL20" s="107"/>
      <c r="AM20" s="108"/>
      <c r="AN20" s="109"/>
      <c r="AO20" s="107"/>
      <c r="AP20" s="108"/>
      <c r="AQ20" s="109"/>
      <c r="AR20" s="107"/>
      <c r="AS20" s="108"/>
      <c r="AT20" s="10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J1"/>
    <mergeCell ref="A3:A4"/>
    <mergeCell ref="B4:D4"/>
    <mergeCell ref="A5:A13"/>
    <mergeCell ref="A14:A15"/>
    <mergeCell ref="A16:A19"/>
  </mergeCells>
  <conditionalFormatting sqref="J2:J20">
    <cfRule type="cellIs" dxfId="0" priority="1" operator="lessThanOrEqual">
      <formula>-501</formula>
    </cfRule>
  </conditionalFormatting>
  <conditionalFormatting sqref="J2:J20">
    <cfRule type="containsBlanks" dxfId="1" priority="2">
      <formula>LEN(TRIM(J2))=0</formula>
    </cfRule>
  </conditionalFormatting>
  <conditionalFormatting sqref="J2:J20">
    <cfRule type="cellIs" dxfId="4" priority="3" operator="between">
      <formula>1</formula>
      <formula>1000</formula>
    </cfRule>
  </conditionalFormatting>
  <conditionalFormatting sqref="J2:J20">
    <cfRule type="cellIs" dxfId="2" priority="4" operator="between">
      <formula>0</formula>
      <formula>-500</formula>
    </cfRule>
  </conditionalFormatting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43"/>
    <col customWidth="1" min="2" max="2" width="23.86"/>
    <col customWidth="1" min="3" max="3" width="24.0"/>
    <col customWidth="1" min="4" max="4" width="42.29"/>
    <col customWidth="1" min="5" max="5" width="11.14"/>
    <col customWidth="1" min="6" max="6" width="17.29"/>
    <col customWidth="1" min="7" max="7" width="13.71"/>
    <col customWidth="1" min="8" max="8" width="15.29"/>
    <col customWidth="1" min="9" max="9" width="18.43"/>
    <col customWidth="1" min="10" max="10" width="22.14"/>
    <col customWidth="1" min="11" max="11" width="23.29"/>
    <col customWidth="1" min="12" max="12" width="61.86"/>
    <col customWidth="1" min="13" max="14" width="23.29"/>
    <col customWidth="1" min="15" max="15" width="61.86"/>
    <col customWidth="1" min="16" max="17" width="23.29"/>
    <col customWidth="1" min="18" max="18" width="61.86"/>
    <col customWidth="1" min="19" max="20" width="23.29"/>
    <col customWidth="1" min="21" max="21" width="61.86"/>
    <col customWidth="1" min="22" max="23" width="23.29"/>
    <col customWidth="1" min="24" max="24" width="61.86"/>
    <col customWidth="1" min="25" max="26" width="23.29"/>
    <col customWidth="1" min="27" max="27" width="61.86"/>
    <col customWidth="1" min="28" max="29" width="23.29"/>
    <col customWidth="1" min="30" max="30" width="61.86"/>
    <col customWidth="1" min="31" max="32" width="23.29"/>
    <col customWidth="1" min="33" max="33" width="61.86"/>
    <col customWidth="1" min="34" max="35" width="23.29"/>
    <col customWidth="1" min="36" max="36" width="61.86"/>
    <col customWidth="1" min="37" max="38" width="23.29"/>
    <col customWidth="1" min="39" max="39" width="61.86"/>
    <col customWidth="1" min="40" max="41" width="23.29"/>
    <col customWidth="1" min="42" max="42" width="61.86"/>
    <col customWidth="1" min="43" max="43" width="23.29"/>
  </cols>
  <sheetData>
    <row r="1" ht="33.75" customHeight="1">
      <c r="A1" s="203" t="s">
        <v>1138</v>
      </c>
      <c r="B1" s="2"/>
      <c r="C1" s="2"/>
      <c r="D1" s="2"/>
      <c r="E1" s="2"/>
      <c r="F1" s="2"/>
      <c r="G1" s="2"/>
      <c r="H1" s="2"/>
      <c r="I1" s="2"/>
      <c r="J1" s="3"/>
      <c r="K1" s="139"/>
      <c r="L1" s="140"/>
      <c r="M1" s="141"/>
      <c r="N1" s="139"/>
      <c r="O1" s="140"/>
      <c r="P1" s="141"/>
      <c r="Q1" s="139"/>
      <c r="R1" s="140"/>
      <c r="S1" s="141"/>
      <c r="T1" s="139"/>
      <c r="U1" s="140"/>
      <c r="V1" s="141"/>
      <c r="W1" s="139"/>
      <c r="X1" s="140"/>
      <c r="Y1" s="141"/>
      <c r="Z1" s="139"/>
      <c r="AA1" s="140"/>
      <c r="AB1" s="141"/>
      <c r="AC1" s="139"/>
      <c r="AD1" s="140"/>
      <c r="AE1" s="141"/>
      <c r="AF1" s="139"/>
      <c r="AG1" s="140"/>
      <c r="AH1" s="141"/>
      <c r="AI1" s="139"/>
      <c r="AJ1" s="140"/>
      <c r="AK1" s="141"/>
      <c r="AL1" s="139"/>
      <c r="AM1" s="140"/>
      <c r="AN1" s="141"/>
      <c r="AO1" s="139"/>
      <c r="AP1" s="140"/>
      <c r="AQ1" s="141"/>
    </row>
    <row r="2" ht="33.75" customHeight="1">
      <c r="A2" s="178" t="s">
        <v>96</v>
      </c>
      <c r="B2" s="178" t="s">
        <v>98</v>
      </c>
      <c r="C2" s="178" t="s">
        <v>99</v>
      </c>
      <c r="D2" s="178" t="s">
        <v>100</v>
      </c>
      <c r="E2" s="179" t="s">
        <v>101</v>
      </c>
      <c r="F2" s="178" t="s">
        <v>506</v>
      </c>
      <c r="G2" s="178" t="s">
        <v>103</v>
      </c>
      <c r="H2" s="178" t="s">
        <v>104</v>
      </c>
      <c r="I2" s="178" t="s">
        <v>105</v>
      </c>
      <c r="J2" s="178" t="s">
        <v>106</v>
      </c>
      <c r="K2" s="47" t="s">
        <v>107</v>
      </c>
      <c r="L2" s="45" t="s">
        <v>108</v>
      </c>
      <c r="M2" s="126" t="s">
        <v>109</v>
      </c>
      <c r="N2" s="47" t="s">
        <v>107</v>
      </c>
      <c r="O2" s="45" t="s">
        <v>108</v>
      </c>
      <c r="P2" s="126" t="s">
        <v>109</v>
      </c>
      <c r="Q2" s="47" t="s">
        <v>107</v>
      </c>
      <c r="R2" s="45" t="s">
        <v>108</v>
      </c>
      <c r="S2" s="126" t="s">
        <v>109</v>
      </c>
      <c r="T2" s="47" t="s">
        <v>107</v>
      </c>
      <c r="U2" s="45" t="s">
        <v>108</v>
      </c>
      <c r="V2" s="126" t="s">
        <v>109</v>
      </c>
      <c r="W2" s="47" t="s">
        <v>107</v>
      </c>
      <c r="X2" s="45" t="s">
        <v>108</v>
      </c>
      <c r="Y2" s="126" t="s">
        <v>109</v>
      </c>
      <c r="Z2" s="47" t="s">
        <v>107</v>
      </c>
      <c r="AA2" s="45" t="s">
        <v>108</v>
      </c>
      <c r="AB2" s="126" t="s">
        <v>109</v>
      </c>
      <c r="AC2" s="47" t="s">
        <v>107</v>
      </c>
      <c r="AD2" s="45" t="s">
        <v>108</v>
      </c>
      <c r="AE2" s="126" t="s">
        <v>109</v>
      </c>
      <c r="AF2" s="47" t="s">
        <v>107</v>
      </c>
      <c r="AG2" s="45" t="s">
        <v>108</v>
      </c>
      <c r="AH2" s="126" t="s">
        <v>109</v>
      </c>
      <c r="AI2" s="47" t="s">
        <v>107</v>
      </c>
      <c r="AJ2" s="45" t="s">
        <v>108</v>
      </c>
      <c r="AK2" s="126" t="s">
        <v>109</v>
      </c>
      <c r="AL2" s="47" t="s">
        <v>107</v>
      </c>
      <c r="AM2" s="45" t="s">
        <v>108</v>
      </c>
      <c r="AN2" s="126" t="s">
        <v>109</v>
      </c>
      <c r="AO2" s="47" t="s">
        <v>107</v>
      </c>
      <c r="AP2" s="45" t="s">
        <v>108</v>
      </c>
      <c r="AQ2" s="126" t="s">
        <v>109</v>
      </c>
    </row>
    <row r="3" ht="33.75" customHeight="1">
      <c r="A3" s="64" t="s">
        <v>1052</v>
      </c>
      <c r="B3" s="51" t="str">
        <f>VLOOKUP(C3,[1]Saldo!A2:B31275,2,0)</f>
        <v>#ERROR!</v>
      </c>
      <c r="C3" s="180" t="s">
        <v>1053</v>
      </c>
      <c r="D3" s="180" t="s">
        <v>634</v>
      </c>
      <c r="E3" s="180">
        <v>4.0</v>
      </c>
      <c r="F3" s="180">
        <v>4000.0</v>
      </c>
      <c r="G3" s="128">
        <f>'PAINEL DE CONTROLE'!$J$8</f>
        <v>6545</v>
      </c>
      <c r="H3" s="128">
        <v>0.0</v>
      </c>
      <c r="I3" s="128">
        <f t="shared" ref="I3:I71" si="1">SUM(H3+F3)</f>
        <v>4000</v>
      </c>
      <c r="J3" s="128">
        <f t="shared" ref="J3:J71" si="2">SUM(I3-G3)</f>
        <v>-2545</v>
      </c>
      <c r="K3" s="60"/>
      <c r="L3" s="31"/>
      <c r="M3" s="61"/>
      <c r="N3" s="60"/>
      <c r="O3" s="31"/>
      <c r="P3" s="61"/>
      <c r="Q3" s="60"/>
      <c r="R3" s="31"/>
      <c r="S3" s="61"/>
      <c r="T3" s="60"/>
      <c r="U3" s="31"/>
      <c r="V3" s="61"/>
      <c r="W3" s="60"/>
      <c r="X3" s="31"/>
      <c r="Y3" s="61"/>
      <c r="Z3" s="60"/>
      <c r="AA3" s="31"/>
      <c r="AB3" s="61"/>
      <c r="AC3" s="60"/>
      <c r="AD3" s="31"/>
      <c r="AE3" s="61"/>
      <c r="AF3" s="60"/>
      <c r="AG3" s="31"/>
      <c r="AH3" s="61"/>
      <c r="AI3" s="60"/>
      <c r="AJ3" s="31"/>
      <c r="AK3" s="61"/>
      <c r="AL3" s="60"/>
      <c r="AM3" s="31"/>
      <c r="AN3" s="61"/>
      <c r="AO3" s="60"/>
      <c r="AP3" s="31"/>
      <c r="AQ3" s="61"/>
    </row>
    <row r="4" ht="33.75" customHeight="1">
      <c r="A4" s="62"/>
      <c r="B4" s="51" t="str">
        <f>VLOOKUP(C4,[1]Saldo!A3:B31276,2,0)</f>
        <v>#ERROR!</v>
      </c>
      <c r="C4" s="69" t="s">
        <v>1054</v>
      </c>
      <c r="D4" s="180" t="s">
        <v>1055</v>
      </c>
      <c r="E4" s="180">
        <v>4.0</v>
      </c>
      <c r="F4" s="180">
        <v>2000.0</v>
      </c>
      <c r="G4" s="128">
        <f>'PAINEL DE CONTROLE'!$J$8</f>
        <v>6545</v>
      </c>
      <c r="H4" s="128">
        <v>0.0</v>
      </c>
      <c r="I4" s="128">
        <f t="shared" si="1"/>
        <v>2000</v>
      </c>
      <c r="J4" s="128">
        <f t="shared" si="2"/>
        <v>-4545</v>
      </c>
      <c r="K4" s="60"/>
      <c r="L4" s="31"/>
      <c r="M4" s="61"/>
      <c r="N4" s="60"/>
      <c r="O4" s="31"/>
      <c r="P4" s="61"/>
      <c r="Q4" s="60"/>
      <c r="R4" s="31"/>
      <c r="S4" s="61"/>
      <c r="T4" s="60"/>
      <c r="U4" s="31"/>
      <c r="V4" s="61"/>
      <c r="W4" s="60"/>
      <c r="X4" s="31"/>
      <c r="Y4" s="61"/>
      <c r="Z4" s="60"/>
      <c r="AA4" s="31"/>
      <c r="AB4" s="61"/>
      <c r="AC4" s="60"/>
      <c r="AD4" s="31"/>
      <c r="AE4" s="61"/>
      <c r="AF4" s="60"/>
      <c r="AG4" s="31"/>
      <c r="AH4" s="61"/>
      <c r="AI4" s="60"/>
      <c r="AJ4" s="31"/>
      <c r="AK4" s="61"/>
      <c r="AL4" s="60"/>
      <c r="AM4" s="31"/>
      <c r="AN4" s="61"/>
      <c r="AO4" s="60"/>
      <c r="AP4" s="31"/>
      <c r="AQ4" s="61"/>
    </row>
    <row r="5" ht="33.75" customHeight="1">
      <c r="A5" s="62"/>
      <c r="B5" s="51" t="str">
        <f>VLOOKUP(C5,[1]Saldo!A4:B31277,2,0)</f>
        <v>#ERROR!</v>
      </c>
      <c r="C5" s="180" t="s">
        <v>1056</v>
      </c>
      <c r="D5" s="180" t="s">
        <v>605</v>
      </c>
      <c r="E5" s="181">
        <v>2.0</v>
      </c>
      <c r="F5" s="180">
        <v>2000.0</v>
      </c>
      <c r="G5" s="128">
        <f>'PAINEL DE CONTROLE'!$J$8</f>
        <v>6545</v>
      </c>
      <c r="H5" s="128">
        <v>0.0</v>
      </c>
      <c r="I5" s="128">
        <f t="shared" si="1"/>
        <v>2000</v>
      </c>
      <c r="J5" s="128">
        <f t="shared" si="2"/>
        <v>-4545</v>
      </c>
      <c r="K5" s="60"/>
      <c r="L5" s="31"/>
      <c r="M5" s="61"/>
      <c r="N5" s="60"/>
      <c r="O5" s="31"/>
      <c r="P5" s="61"/>
      <c r="Q5" s="60"/>
      <c r="R5" s="31"/>
      <c r="S5" s="61"/>
      <c r="T5" s="60"/>
      <c r="U5" s="31"/>
      <c r="V5" s="61"/>
      <c r="W5" s="60"/>
      <c r="X5" s="31"/>
      <c r="Y5" s="61"/>
      <c r="Z5" s="60"/>
      <c r="AA5" s="31"/>
      <c r="AB5" s="61"/>
      <c r="AC5" s="60"/>
      <c r="AD5" s="31"/>
      <c r="AE5" s="61"/>
      <c r="AF5" s="60"/>
      <c r="AG5" s="31"/>
      <c r="AH5" s="61"/>
      <c r="AI5" s="60"/>
      <c r="AJ5" s="31"/>
      <c r="AK5" s="61"/>
      <c r="AL5" s="60"/>
      <c r="AM5" s="31"/>
      <c r="AN5" s="61"/>
      <c r="AO5" s="60"/>
      <c r="AP5" s="31"/>
      <c r="AQ5" s="61"/>
    </row>
    <row r="6" ht="33.75" customHeight="1">
      <c r="A6" s="62"/>
      <c r="B6" s="51" t="str">
        <f>VLOOKUP(C6,[1]Saldo!A5:B31278,2,0)</f>
        <v>#ERROR!</v>
      </c>
      <c r="C6" s="180" t="s">
        <v>1057</v>
      </c>
      <c r="D6" s="180" t="s">
        <v>1058</v>
      </c>
      <c r="E6" s="181">
        <v>8.0</v>
      </c>
      <c r="F6" s="180">
        <v>2000.0</v>
      </c>
      <c r="G6" s="128">
        <f>'PAINEL DE CONTROLE'!$J$8</f>
        <v>6545</v>
      </c>
      <c r="H6" s="128">
        <v>0.0</v>
      </c>
      <c r="I6" s="128">
        <f t="shared" si="1"/>
        <v>2000</v>
      </c>
      <c r="J6" s="128">
        <f t="shared" si="2"/>
        <v>-4545</v>
      </c>
      <c r="K6" s="60"/>
      <c r="L6" s="31"/>
      <c r="M6" s="61"/>
      <c r="N6" s="60"/>
      <c r="O6" s="31"/>
      <c r="P6" s="61"/>
      <c r="Q6" s="60"/>
      <c r="R6" s="31"/>
      <c r="S6" s="61"/>
      <c r="T6" s="60"/>
      <c r="U6" s="31"/>
      <c r="V6" s="61"/>
      <c r="W6" s="60"/>
      <c r="X6" s="31"/>
      <c r="Y6" s="61"/>
      <c r="Z6" s="60"/>
      <c r="AA6" s="31"/>
      <c r="AB6" s="61"/>
      <c r="AC6" s="60"/>
      <c r="AD6" s="31"/>
      <c r="AE6" s="61"/>
      <c r="AF6" s="60"/>
      <c r="AG6" s="31"/>
      <c r="AH6" s="61"/>
      <c r="AI6" s="60"/>
      <c r="AJ6" s="31"/>
      <c r="AK6" s="61"/>
      <c r="AL6" s="60"/>
      <c r="AM6" s="31"/>
      <c r="AN6" s="61"/>
      <c r="AO6" s="60"/>
      <c r="AP6" s="31"/>
      <c r="AQ6" s="61"/>
    </row>
    <row r="7" ht="33.75" customHeight="1">
      <c r="A7" s="62"/>
      <c r="B7" s="51" t="str">
        <f>VLOOKUP(C7,[1]Saldo!A6:B31279,2,0)</f>
        <v>#ERROR!</v>
      </c>
      <c r="C7" s="180" t="s">
        <v>1059</v>
      </c>
      <c r="D7" s="180" t="s">
        <v>1060</v>
      </c>
      <c r="E7" s="181">
        <v>2.0</v>
      </c>
      <c r="F7" s="180">
        <v>2000.0</v>
      </c>
      <c r="G7" s="128">
        <f>'PAINEL DE CONTROLE'!$J$8</f>
        <v>6545</v>
      </c>
      <c r="H7" s="128">
        <v>0.0</v>
      </c>
      <c r="I7" s="128">
        <f t="shared" si="1"/>
        <v>2000</v>
      </c>
      <c r="J7" s="128">
        <f t="shared" si="2"/>
        <v>-4545</v>
      </c>
      <c r="K7" s="60"/>
      <c r="L7" s="31"/>
      <c r="M7" s="61"/>
      <c r="N7" s="60"/>
      <c r="O7" s="31"/>
      <c r="P7" s="61"/>
      <c r="Q7" s="60"/>
      <c r="R7" s="31"/>
      <c r="S7" s="61"/>
      <c r="T7" s="60"/>
      <c r="U7" s="31"/>
      <c r="V7" s="61"/>
      <c r="W7" s="60"/>
      <c r="X7" s="31"/>
      <c r="Y7" s="61"/>
      <c r="Z7" s="60"/>
      <c r="AA7" s="31"/>
      <c r="AB7" s="61"/>
      <c r="AC7" s="60"/>
      <c r="AD7" s="31"/>
      <c r="AE7" s="61"/>
      <c r="AF7" s="60"/>
      <c r="AG7" s="31"/>
      <c r="AH7" s="61"/>
      <c r="AI7" s="60"/>
      <c r="AJ7" s="31"/>
      <c r="AK7" s="61"/>
      <c r="AL7" s="60"/>
      <c r="AM7" s="31"/>
      <c r="AN7" s="61"/>
      <c r="AO7" s="60"/>
      <c r="AP7" s="31"/>
      <c r="AQ7" s="61"/>
    </row>
    <row r="8" ht="33.75" customHeight="1">
      <c r="A8" s="62"/>
      <c r="B8" s="51" t="str">
        <f>VLOOKUP(C8,[1]Saldo!A7:B31280,2,0)</f>
        <v>#ERROR!</v>
      </c>
      <c r="C8" s="180" t="s">
        <v>1061</v>
      </c>
      <c r="D8" s="180" t="s">
        <v>1062</v>
      </c>
      <c r="E8" s="181">
        <v>4.0</v>
      </c>
      <c r="F8" s="180">
        <v>2000.0</v>
      </c>
      <c r="G8" s="128">
        <f>'PAINEL DE CONTROLE'!$J$8</f>
        <v>6545</v>
      </c>
      <c r="H8" s="128">
        <v>0.0</v>
      </c>
      <c r="I8" s="128">
        <f t="shared" si="1"/>
        <v>2000</v>
      </c>
      <c r="J8" s="128">
        <f t="shared" si="2"/>
        <v>-4545</v>
      </c>
      <c r="K8" s="60"/>
      <c r="L8" s="31"/>
      <c r="M8" s="61"/>
      <c r="N8" s="60"/>
      <c r="O8" s="31"/>
      <c r="P8" s="61"/>
      <c r="Q8" s="60"/>
      <c r="R8" s="31"/>
      <c r="S8" s="61"/>
      <c r="T8" s="60"/>
      <c r="U8" s="31"/>
      <c r="V8" s="61"/>
      <c r="W8" s="60"/>
      <c r="X8" s="31"/>
      <c r="Y8" s="61"/>
      <c r="Z8" s="60"/>
      <c r="AA8" s="31"/>
      <c r="AB8" s="61"/>
      <c r="AC8" s="60"/>
      <c r="AD8" s="31"/>
      <c r="AE8" s="61"/>
      <c r="AF8" s="60"/>
      <c r="AG8" s="31"/>
      <c r="AH8" s="61"/>
      <c r="AI8" s="60"/>
      <c r="AJ8" s="31"/>
      <c r="AK8" s="61"/>
      <c r="AL8" s="60"/>
      <c r="AM8" s="31"/>
      <c r="AN8" s="61"/>
      <c r="AO8" s="60"/>
      <c r="AP8" s="31"/>
      <c r="AQ8" s="61"/>
    </row>
    <row r="9" ht="33.75" customHeight="1">
      <c r="A9" s="63"/>
      <c r="B9" s="51" t="str">
        <f>VLOOKUP(C9,[1]Saldo!A8:B31281,2,0)</f>
        <v>#ERROR!</v>
      </c>
      <c r="C9" s="180" t="s">
        <v>1063</v>
      </c>
      <c r="D9" s="180" t="s">
        <v>605</v>
      </c>
      <c r="E9" s="181">
        <v>4.0</v>
      </c>
      <c r="F9" s="180">
        <v>2000.0</v>
      </c>
      <c r="G9" s="128">
        <f>'PAINEL DE CONTROLE'!$J$8</f>
        <v>6545</v>
      </c>
      <c r="H9" s="128">
        <v>0.0</v>
      </c>
      <c r="I9" s="128">
        <f t="shared" si="1"/>
        <v>2000</v>
      </c>
      <c r="J9" s="128">
        <f t="shared" si="2"/>
        <v>-4545</v>
      </c>
      <c r="K9" s="60"/>
      <c r="L9" s="31"/>
      <c r="M9" s="61"/>
      <c r="N9" s="60"/>
      <c r="O9" s="31"/>
      <c r="P9" s="61"/>
      <c r="Q9" s="60"/>
      <c r="R9" s="31"/>
      <c r="S9" s="61"/>
      <c r="T9" s="60"/>
      <c r="U9" s="31"/>
      <c r="V9" s="61"/>
      <c r="W9" s="60"/>
      <c r="X9" s="31"/>
      <c r="Y9" s="61"/>
      <c r="Z9" s="60"/>
      <c r="AA9" s="31"/>
      <c r="AB9" s="61"/>
      <c r="AC9" s="60"/>
      <c r="AD9" s="31"/>
      <c r="AE9" s="61"/>
      <c r="AF9" s="60"/>
      <c r="AG9" s="31"/>
      <c r="AH9" s="61"/>
      <c r="AI9" s="60"/>
      <c r="AJ9" s="31"/>
      <c r="AK9" s="61"/>
      <c r="AL9" s="60"/>
      <c r="AM9" s="31"/>
      <c r="AN9" s="61"/>
      <c r="AO9" s="60"/>
      <c r="AP9" s="31"/>
      <c r="AQ9" s="61"/>
    </row>
    <row r="10" ht="33.75" customHeight="1">
      <c r="A10" s="64" t="s">
        <v>1064</v>
      </c>
      <c r="B10" s="51" t="str">
        <f>VLOOKUP(C10,[1]Saldo!A9:B31282,2,0)</f>
        <v>#ERROR!</v>
      </c>
      <c r="C10" s="50" t="s">
        <v>945</v>
      </c>
      <c r="D10" s="180" t="str">
        <f t="shared" ref="D10:D61" si="3">'[1]PARAMETROS PREVENTIVA'!$C675</f>
        <v>#REF!</v>
      </c>
      <c r="E10" s="181">
        <v>8.0</v>
      </c>
      <c r="F10" s="180">
        <v>5000.0</v>
      </c>
      <c r="G10" s="128">
        <f>'PAINEL DE CONTROLE'!$J$8</f>
        <v>6545</v>
      </c>
      <c r="H10" s="128">
        <v>0.0</v>
      </c>
      <c r="I10" s="128">
        <f t="shared" si="1"/>
        <v>5000</v>
      </c>
      <c r="J10" s="128">
        <f t="shared" si="2"/>
        <v>-1545</v>
      </c>
      <c r="K10" s="60"/>
      <c r="L10" s="31"/>
      <c r="M10" s="61"/>
      <c r="N10" s="60"/>
      <c r="O10" s="31"/>
      <c r="P10" s="61"/>
      <c r="Q10" s="60"/>
      <c r="R10" s="31"/>
      <c r="S10" s="61"/>
      <c r="T10" s="60"/>
      <c r="U10" s="31"/>
      <c r="V10" s="61"/>
      <c r="W10" s="60"/>
      <c r="X10" s="31"/>
      <c r="Y10" s="61"/>
      <c r="Z10" s="60"/>
      <c r="AA10" s="31"/>
      <c r="AB10" s="61"/>
      <c r="AC10" s="60"/>
      <c r="AD10" s="31"/>
      <c r="AE10" s="61"/>
      <c r="AF10" s="60"/>
      <c r="AG10" s="31"/>
      <c r="AH10" s="61"/>
      <c r="AI10" s="60"/>
      <c r="AJ10" s="31"/>
      <c r="AK10" s="61"/>
      <c r="AL10" s="60"/>
      <c r="AM10" s="31"/>
      <c r="AN10" s="61"/>
      <c r="AO10" s="60"/>
      <c r="AP10" s="31"/>
      <c r="AQ10" s="61"/>
    </row>
    <row r="11" ht="33.75" customHeight="1">
      <c r="A11" s="62"/>
      <c r="B11" s="51" t="str">
        <f>VLOOKUP(C11,[1]Saldo!A10:B31283,2,0)</f>
        <v>#ERROR!</v>
      </c>
      <c r="C11" s="180" t="s">
        <v>1065</v>
      </c>
      <c r="D11" s="180" t="str">
        <f t="shared" si="3"/>
        <v>#REF!</v>
      </c>
      <c r="E11" s="181">
        <v>2.0</v>
      </c>
      <c r="F11" s="180">
        <v>5000.0</v>
      </c>
      <c r="G11" s="128">
        <f>'PAINEL DE CONTROLE'!$J$8</f>
        <v>6545</v>
      </c>
      <c r="H11" s="128">
        <v>0.0</v>
      </c>
      <c r="I11" s="128">
        <f t="shared" si="1"/>
        <v>5000</v>
      </c>
      <c r="J11" s="128">
        <f t="shared" si="2"/>
        <v>-1545</v>
      </c>
      <c r="K11" s="60"/>
      <c r="L11" s="31"/>
      <c r="M11" s="61"/>
      <c r="N11" s="60"/>
      <c r="O11" s="31"/>
      <c r="P11" s="61"/>
      <c r="Q11" s="60"/>
      <c r="R11" s="31"/>
      <c r="S11" s="61"/>
      <c r="T11" s="60"/>
      <c r="U11" s="31"/>
      <c r="V11" s="61"/>
      <c r="W11" s="60"/>
      <c r="X11" s="31"/>
      <c r="Y11" s="61"/>
      <c r="Z11" s="60"/>
      <c r="AA11" s="31"/>
      <c r="AB11" s="61"/>
      <c r="AC11" s="60"/>
      <c r="AD11" s="31"/>
      <c r="AE11" s="61"/>
      <c r="AF11" s="60"/>
      <c r="AG11" s="31"/>
      <c r="AH11" s="61"/>
      <c r="AI11" s="60"/>
      <c r="AJ11" s="31"/>
      <c r="AK11" s="61"/>
      <c r="AL11" s="60"/>
      <c r="AM11" s="31"/>
      <c r="AN11" s="61"/>
      <c r="AO11" s="60"/>
      <c r="AP11" s="31"/>
      <c r="AQ11" s="61"/>
    </row>
    <row r="12" ht="33.75" customHeight="1">
      <c r="A12" s="63"/>
      <c r="B12" s="51" t="str">
        <f>VLOOKUP(C12,[1]Saldo!A11:B31284,2,0)</f>
        <v>#ERROR!</v>
      </c>
      <c r="C12" s="88" t="s">
        <v>1066</v>
      </c>
      <c r="D12" s="88" t="str">
        <f t="shared" si="3"/>
        <v>#REF!</v>
      </c>
      <c r="E12" s="137">
        <v>8.0</v>
      </c>
      <c r="F12" s="88">
        <v>5000.0</v>
      </c>
      <c r="G12" s="128">
        <f>'PAINEL DE CONTROLE'!$J$8</f>
        <v>6545</v>
      </c>
      <c r="H12" s="128">
        <v>0.0</v>
      </c>
      <c r="I12" s="128">
        <f t="shared" si="1"/>
        <v>5000</v>
      </c>
      <c r="J12" s="128">
        <f t="shared" si="2"/>
        <v>-1545</v>
      </c>
      <c r="K12" s="60"/>
      <c r="L12" s="31"/>
      <c r="M12" s="61"/>
      <c r="N12" s="60"/>
      <c r="O12" s="31"/>
      <c r="P12" s="61"/>
      <c r="Q12" s="60"/>
      <c r="R12" s="31"/>
      <c r="S12" s="61"/>
      <c r="T12" s="60"/>
      <c r="U12" s="31"/>
      <c r="V12" s="61"/>
      <c r="W12" s="60"/>
      <c r="X12" s="31"/>
      <c r="Y12" s="61"/>
      <c r="Z12" s="60"/>
      <c r="AA12" s="31"/>
      <c r="AB12" s="61"/>
      <c r="AC12" s="60"/>
      <c r="AD12" s="31"/>
      <c r="AE12" s="61"/>
      <c r="AF12" s="60"/>
      <c r="AG12" s="31"/>
      <c r="AH12" s="61"/>
      <c r="AI12" s="60"/>
      <c r="AJ12" s="31"/>
      <c r="AK12" s="61"/>
      <c r="AL12" s="60"/>
      <c r="AM12" s="31"/>
      <c r="AN12" s="61"/>
      <c r="AO12" s="60"/>
      <c r="AP12" s="31"/>
      <c r="AQ12" s="61"/>
    </row>
    <row r="13" ht="33.75" customHeight="1">
      <c r="A13" s="64" t="s">
        <v>1067</v>
      </c>
      <c r="B13" s="51" t="str">
        <f>VLOOKUP(C13,[1]Saldo!A12:B31285,2,0)</f>
        <v>#ERROR!</v>
      </c>
      <c r="C13" s="88" t="s">
        <v>1068</v>
      </c>
      <c r="D13" s="88" t="str">
        <f t="shared" si="3"/>
        <v>#REF!</v>
      </c>
      <c r="E13" s="137">
        <v>4.0</v>
      </c>
      <c r="F13" s="88">
        <v>4000.0</v>
      </c>
      <c r="G13" s="128">
        <f>'PAINEL DE CONTROLE'!$J$8</f>
        <v>6545</v>
      </c>
      <c r="H13" s="128">
        <v>0.0</v>
      </c>
      <c r="I13" s="128">
        <f t="shared" si="1"/>
        <v>4000</v>
      </c>
      <c r="J13" s="128">
        <f t="shared" si="2"/>
        <v>-2545</v>
      </c>
      <c r="K13" s="60"/>
      <c r="L13" s="31"/>
      <c r="M13" s="61"/>
      <c r="N13" s="60"/>
      <c r="O13" s="31"/>
      <c r="P13" s="61"/>
      <c r="Q13" s="60"/>
      <c r="R13" s="31"/>
      <c r="S13" s="61"/>
      <c r="T13" s="60"/>
      <c r="U13" s="31"/>
      <c r="V13" s="61"/>
      <c r="W13" s="60"/>
      <c r="X13" s="31"/>
      <c r="Y13" s="61"/>
      <c r="Z13" s="60"/>
      <c r="AA13" s="31"/>
      <c r="AB13" s="61"/>
      <c r="AC13" s="60"/>
      <c r="AD13" s="31"/>
      <c r="AE13" s="61"/>
      <c r="AF13" s="60"/>
      <c r="AG13" s="31"/>
      <c r="AH13" s="61"/>
      <c r="AI13" s="60"/>
      <c r="AJ13" s="31"/>
      <c r="AK13" s="61"/>
      <c r="AL13" s="60"/>
      <c r="AM13" s="31"/>
      <c r="AN13" s="61"/>
      <c r="AO13" s="60"/>
      <c r="AP13" s="31"/>
      <c r="AQ13" s="61"/>
    </row>
    <row r="14" ht="33.75" customHeight="1">
      <c r="A14" s="62"/>
      <c r="B14" s="51" t="str">
        <f>VLOOKUP(C14,[1]Saldo!A13:B31286,2,0)</f>
        <v>#ERROR!</v>
      </c>
      <c r="C14" s="88" t="s">
        <v>1069</v>
      </c>
      <c r="D14" s="88" t="str">
        <f t="shared" si="3"/>
        <v>#REF!</v>
      </c>
      <c r="E14" s="137">
        <v>2.0</v>
      </c>
      <c r="F14" s="88">
        <v>4000.0</v>
      </c>
      <c r="G14" s="128">
        <f>'PAINEL DE CONTROLE'!$J$8</f>
        <v>6545</v>
      </c>
      <c r="H14" s="128">
        <v>0.0</v>
      </c>
      <c r="I14" s="128">
        <f t="shared" si="1"/>
        <v>4000</v>
      </c>
      <c r="J14" s="128">
        <f t="shared" si="2"/>
        <v>-2545</v>
      </c>
      <c r="K14" s="60"/>
      <c r="L14" s="31"/>
      <c r="M14" s="61"/>
      <c r="N14" s="60"/>
      <c r="O14" s="31"/>
      <c r="P14" s="61"/>
      <c r="Q14" s="60"/>
      <c r="R14" s="31"/>
      <c r="S14" s="61"/>
      <c r="T14" s="60"/>
      <c r="U14" s="31"/>
      <c r="V14" s="61"/>
      <c r="W14" s="60"/>
      <c r="X14" s="31"/>
      <c r="Y14" s="61"/>
      <c r="Z14" s="60"/>
      <c r="AA14" s="31"/>
      <c r="AB14" s="61"/>
      <c r="AC14" s="60"/>
      <c r="AD14" s="31"/>
      <c r="AE14" s="61"/>
      <c r="AF14" s="60"/>
      <c r="AG14" s="31"/>
      <c r="AH14" s="61"/>
      <c r="AI14" s="60"/>
      <c r="AJ14" s="31"/>
      <c r="AK14" s="61"/>
      <c r="AL14" s="60"/>
      <c r="AM14" s="31"/>
      <c r="AN14" s="61"/>
      <c r="AO14" s="60"/>
      <c r="AP14" s="31"/>
      <c r="AQ14" s="61"/>
    </row>
    <row r="15" ht="33.75" customHeight="1">
      <c r="A15" s="63"/>
      <c r="B15" s="51" t="str">
        <f>VLOOKUP(C15,[1]Saldo!A14:B31287,2,0)</f>
        <v>#ERROR!</v>
      </c>
      <c r="C15" s="88" t="s">
        <v>1070</v>
      </c>
      <c r="D15" s="88" t="str">
        <f t="shared" si="3"/>
        <v>#REF!</v>
      </c>
      <c r="E15" s="137">
        <v>2.0</v>
      </c>
      <c r="F15" s="88">
        <v>4000.0</v>
      </c>
      <c r="G15" s="128">
        <f>'PAINEL DE CONTROLE'!$J$8</f>
        <v>6545</v>
      </c>
      <c r="H15" s="128">
        <v>0.0</v>
      </c>
      <c r="I15" s="128">
        <f t="shared" si="1"/>
        <v>4000</v>
      </c>
      <c r="J15" s="128">
        <f t="shared" si="2"/>
        <v>-2545</v>
      </c>
      <c r="K15" s="60"/>
      <c r="L15" s="31"/>
      <c r="M15" s="61"/>
      <c r="N15" s="60"/>
      <c r="O15" s="31"/>
      <c r="P15" s="61"/>
      <c r="Q15" s="60"/>
      <c r="R15" s="31"/>
      <c r="S15" s="61"/>
      <c r="T15" s="60"/>
      <c r="U15" s="31"/>
      <c r="V15" s="61"/>
      <c r="W15" s="60"/>
      <c r="X15" s="31"/>
      <c r="Y15" s="61"/>
      <c r="Z15" s="60"/>
      <c r="AA15" s="31"/>
      <c r="AB15" s="61"/>
      <c r="AC15" s="60"/>
      <c r="AD15" s="31"/>
      <c r="AE15" s="61"/>
      <c r="AF15" s="60"/>
      <c r="AG15" s="31"/>
      <c r="AH15" s="61"/>
      <c r="AI15" s="60"/>
      <c r="AJ15" s="31"/>
      <c r="AK15" s="61"/>
      <c r="AL15" s="60"/>
      <c r="AM15" s="31"/>
      <c r="AN15" s="61"/>
      <c r="AO15" s="60"/>
      <c r="AP15" s="31"/>
      <c r="AQ15" s="61"/>
    </row>
    <row r="16" ht="33.75" customHeight="1">
      <c r="A16" s="64" t="s">
        <v>1071</v>
      </c>
      <c r="B16" s="51" t="str">
        <f>VLOOKUP(C16,[1]Saldo!A15:B31288,2,0)</f>
        <v>#ERROR!</v>
      </c>
      <c r="C16" s="88" t="s">
        <v>1072</v>
      </c>
      <c r="D16" s="88" t="str">
        <f t="shared" si="3"/>
        <v>#REF!</v>
      </c>
      <c r="E16" s="137">
        <v>4.0</v>
      </c>
      <c r="F16" s="88">
        <v>4000.0</v>
      </c>
      <c r="G16" s="128">
        <f>'PAINEL DE CONTROLE'!$J$8</f>
        <v>6545</v>
      </c>
      <c r="H16" s="128">
        <v>0.0</v>
      </c>
      <c r="I16" s="128">
        <f t="shared" si="1"/>
        <v>4000</v>
      </c>
      <c r="J16" s="128">
        <f t="shared" si="2"/>
        <v>-2545</v>
      </c>
      <c r="K16" s="60"/>
      <c r="L16" s="31"/>
      <c r="M16" s="61"/>
      <c r="N16" s="60"/>
      <c r="O16" s="31"/>
      <c r="P16" s="61"/>
      <c r="Q16" s="60"/>
      <c r="R16" s="31"/>
      <c r="S16" s="61"/>
      <c r="T16" s="60"/>
      <c r="U16" s="31"/>
      <c r="V16" s="61"/>
      <c r="W16" s="60"/>
      <c r="X16" s="31"/>
      <c r="Y16" s="61"/>
      <c r="Z16" s="60"/>
      <c r="AA16" s="31"/>
      <c r="AB16" s="61"/>
      <c r="AC16" s="60"/>
      <c r="AD16" s="31"/>
      <c r="AE16" s="61"/>
      <c r="AF16" s="60"/>
      <c r="AG16" s="31"/>
      <c r="AH16" s="61"/>
      <c r="AI16" s="60"/>
      <c r="AJ16" s="31"/>
      <c r="AK16" s="61"/>
      <c r="AL16" s="60"/>
      <c r="AM16" s="31"/>
      <c r="AN16" s="61"/>
      <c r="AO16" s="60"/>
      <c r="AP16" s="31"/>
      <c r="AQ16" s="61"/>
    </row>
    <row r="17" ht="33.75" customHeight="1">
      <c r="A17" s="62"/>
      <c r="B17" s="51" t="str">
        <f>VLOOKUP(C17,[1]Saldo!A16:B31289,2,0)</f>
        <v>#ERROR!</v>
      </c>
      <c r="C17" s="88" t="s">
        <v>1073</v>
      </c>
      <c r="D17" s="88" t="str">
        <f t="shared" si="3"/>
        <v>#REF!</v>
      </c>
      <c r="E17" s="137">
        <v>1.0</v>
      </c>
      <c r="F17" s="88">
        <v>4000.0</v>
      </c>
      <c r="G17" s="128">
        <f>'PAINEL DE CONTROLE'!$J$8</f>
        <v>6545</v>
      </c>
      <c r="H17" s="128">
        <v>0.0</v>
      </c>
      <c r="I17" s="128">
        <f t="shared" si="1"/>
        <v>4000</v>
      </c>
      <c r="J17" s="128">
        <f t="shared" si="2"/>
        <v>-2545</v>
      </c>
      <c r="K17" s="60"/>
      <c r="L17" s="31"/>
      <c r="M17" s="61"/>
      <c r="N17" s="60"/>
      <c r="O17" s="31"/>
      <c r="P17" s="61"/>
      <c r="Q17" s="60"/>
      <c r="R17" s="31"/>
      <c r="S17" s="61"/>
      <c r="T17" s="60"/>
      <c r="U17" s="31"/>
      <c r="V17" s="61"/>
      <c r="W17" s="60"/>
      <c r="X17" s="31"/>
      <c r="Y17" s="61"/>
      <c r="Z17" s="60"/>
      <c r="AA17" s="31"/>
      <c r="AB17" s="61"/>
      <c r="AC17" s="60"/>
      <c r="AD17" s="31"/>
      <c r="AE17" s="61"/>
      <c r="AF17" s="60"/>
      <c r="AG17" s="31"/>
      <c r="AH17" s="61"/>
      <c r="AI17" s="60"/>
      <c r="AJ17" s="31"/>
      <c r="AK17" s="61"/>
      <c r="AL17" s="60"/>
      <c r="AM17" s="31"/>
      <c r="AN17" s="61"/>
      <c r="AO17" s="60"/>
      <c r="AP17" s="31"/>
      <c r="AQ17" s="61"/>
    </row>
    <row r="18" ht="33.75" customHeight="1">
      <c r="A18" s="62"/>
      <c r="B18" s="51" t="str">
        <f>VLOOKUP(C18,[1]Saldo!A17:B31290,2,0)</f>
        <v>#ERROR!</v>
      </c>
      <c r="C18" s="88" t="s">
        <v>1074</v>
      </c>
      <c r="D18" s="88" t="str">
        <f t="shared" si="3"/>
        <v>#REF!</v>
      </c>
      <c r="E18" s="137">
        <v>1.0</v>
      </c>
      <c r="F18" s="88">
        <v>4000.0</v>
      </c>
      <c r="G18" s="128">
        <f>'PAINEL DE CONTROLE'!$J$8</f>
        <v>6545</v>
      </c>
      <c r="H18" s="128">
        <v>0.0</v>
      </c>
      <c r="I18" s="128">
        <f t="shared" si="1"/>
        <v>4000</v>
      </c>
      <c r="J18" s="128">
        <f t="shared" si="2"/>
        <v>-2545</v>
      </c>
      <c r="K18" s="60"/>
      <c r="L18" s="31"/>
      <c r="M18" s="61"/>
      <c r="N18" s="60"/>
      <c r="O18" s="31"/>
      <c r="P18" s="61"/>
      <c r="Q18" s="60"/>
      <c r="R18" s="31"/>
      <c r="S18" s="61"/>
      <c r="T18" s="60"/>
      <c r="U18" s="31"/>
      <c r="V18" s="61"/>
      <c r="W18" s="60"/>
      <c r="X18" s="31"/>
      <c r="Y18" s="61"/>
      <c r="Z18" s="60"/>
      <c r="AA18" s="31"/>
      <c r="AB18" s="61"/>
      <c r="AC18" s="60"/>
      <c r="AD18" s="31"/>
      <c r="AE18" s="61"/>
      <c r="AF18" s="60"/>
      <c r="AG18" s="31"/>
      <c r="AH18" s="61"/>
      <c r="AI18" s="60"/>
      <c r="AJ18" s="31"/>
      <c r="AK18" s="61"/>
      <c r="AL18" s="60"/>
      <c r="AM18" s="31"/>
      <c r="AN18" s="61"/>
      <c r="AO18" s="60"/>
      <c r="AP18" s="31"/>
      <c r="AQ18" s="61"/>
    </row>
    <row r="19" ht="33.75" customHeight="1">
      <c r="A19" s="62"/>
      <c r="B19" s="51" t="str">
        <f>VLOOKUP(C19,[1]Saldo!A18:B31291,2,0)</f>
        <v>#ERROR!</v>
      </c>
      <c r="C19" s="88" t="s">
        <v>1075</v>
      </c>
      <c r="D19" s="88" t="str">
        <f t="shared" si="3"/>
        <v>#REF!</v>
      </c>
      <c r="E19" s="137">
        <v>14.0</v>
      </c>
      <c r="F19" s="88">
        <v>4000.0</v>
      </c>
      <c r="G19" s="128">
        <f>'PAINEL DE CONTROLE'!$J$8</f>
        <v>6545</v>
      </c>
      <c r="H19" s="128">
        <v>0.0</v>
      </c>
      <c r="I19" s="128">
        <f t="shared" si="1"/>
        <v>4000</v>
      </c>
      <c r="J19" s="128">
        <f t="shared" si="2"/>
        <v>-2545</v>
      </c>
      <c r="K19" s="60"/>
      <c r="L19" s="31"/>
      <c r="M19" s="61"/>
      <c r="N19" s="60"/>
      <c r="O19" s="31"/>
      <c r="P19" s="61"/>
      <c r="Q19" s="60"/>
      <c r="R19" s="31"/>
      <c r="S19" s="61"/>
      <c r="T19" s="60"/>
      <c r="U19" s="31"/>
      <c r="V19" s="61"/>
      <c r="W19" s="60"/>
      <c r="X19" s="31"/>
      <c r="Y19" s="61"/>
      <c r="Z19" s="60"/>
      <c r="AA19" s="31"/>
      <c r="AB19" s="61"/>
      <c r="AC19" s="60"/>
      <c r="AD19" s="31"/>
      <c r="AE19" s="61"/>
      <c r="AF19" s="60"/>
      <c r="AG19" s="31"/>
      <c r="AH19" s="61"/>
      <c r="AI19" s="60"/>
      <c r="AJ19" s="31"/>
      <c r="AK19" s="61"/>
      <c r="AL19" s="60"/>
      <c r="AM19" s="31"/>
      <c r="AN19" s="61"/>
      <c r="AO19" s="60"/>
      <c r="AP19" s="31"/>
      <c r="AQ19" s="61"/>
    </row>
    <row r="20" ht="33.75" customHeight="1">
      <c r="A20" s="62"/>
      <c r="B20" s="51" t="str">
        <f>VLOOKUP(C20,[1]Saldo!A19:B31292,2,0)</f>
        <v>#ERROR!</v>
      </c>
      <c r="C20" s="88" t="s">
        <v>1076</v>
      </c>
      <c r="D20" s="88" t="str">
        <f t="shared" si="3"/>
        <v>#REF!</v>
      </c>
      <c r="E20" s="137">
        <v>12.0</v>
      </c>
      <c r="F20" s="88">
        <v>4000.0</v>
      </c>
      <c r="G20" s="128">
        <f>'PAINEL DE CONTROLE'!$J$8</f>
        <v>6545</v>
      </c>
      <c r="H20" s="128">
        <v>0.0</v>
      </c>
      <c r="I20" s="128">
        <f t="shared" si="1"/>
        <v>4000</v>
      </c>
      <c r="J20" s="128">
        <f t="shared" si="2"/>
        <v>-2545</v>
      </c>
      <c r="K20" s="60"/>
      <c r="L20" s="31"/>
      <c r="M20" s="61"/>
      <c r="N20" s="60"/>
      <c r="O20" s="31"/>
      <c r="P20" s="61"/>
      <c r="Q20" s="60"/>
      <c r="R20" s="31"/>
      <c r="S20" s="61"/>
      <c r="T20" s="60"/>
      <c r="U20" s="31"/>
      <c r="V20" s="61"/>
      <c r="W20" s="60"/>
      <c r="X20" s="31"/>
      <c r="Y20" s="61"/>
      <c r="Z20" s="60"/>
      <c r="AA20" s="31"/>
      <c r="AB20" s="61"/>
      <c r="AC20" s="60"/>
      <c r="AD20" s="31"/>
      <c r="AE20" s="61"/>
      <c r="AF20" s="60"/>
      <c r="AG20" s="31"/>
      <c r="AH20" s="61"/>
      <c r="AI20" s="60"/>
      <c r="AJ20" s="31"/>
      <c r="AK20" s="61"/>
      <c r="AL20" s="60"/>
      <c r="AM20" s="31"/>
      <c r="AN20" s="61"/>
      <c r="AO20" s="60"/>
      <c r="AP20" s="31"/>
      <c r="AQ20" s="61"/>
    </row>
    <row r="21" ht="33.75" customHeight="1">
      <c r="A21" s="62"/>
      <c r="B21" s="51" t="str">
        <f>VLOOKUP(C21,[1]Saldo!A20:B31293,2,0)</f>
        <v>#ERROR!</v>
      </c>
      <c r="C21" s="88" t="s">
        <v>1077</v>
      </c>
      <c r="D21" s="88" t="str">
        <f t="shared" si="3"/>
        <v>#REF!</v>
      </c>
      <c r="E21" s="137">
        <v>2.0</v>
      </c>
      <c r="F21" s="88">
        <v>4000.0</v>
      </c>
      <c r="G21" s="128">
        <f>'PAINEL DE CONTROLE'!$J$8</f>
        <v>6545</v>
      </c>
      <c r="H21" s="128">
        <v>0.0</v>
      </c>
      <c r="I21" s="128">
        <f t="shared" si="1"/>
        <v>4000</v>
      </c>
      <c r="J21" s="128">
        <f t="shared" si="2"/>
        <v>-2545</v>
      </c>
      <c r="K21" s="60"/>
      <c r="L21" s="31"/>
      <c r="M21" s="61"/>
      <c r="N21" s="60"/>
      <c r="O21" s="31"/>
      <c r="P21" s="61"/>
      <c r="Q21" s="60"/>
      <c r="R21" s="31"/>
      <c r="S21" s="61"/>
      <c r="T21" s="60"/>
      <c r="U21" s="31"/>
      <c r="V21" s="61"/>
      <c r="W21" s="60"/>
      <c r="X21" s="31"/>
      <c r="Y21" s="61"/>
      <c r="Z21" s="60"/>
      <c r="AA21" s="31"/>
      <c r="AB21" s="61"/>
      <c r="AC21" s="60"/>
      <c r="AD21" s="31"/>
      <c r="AE21" s="61"/>
      <c r="AF21" s="60"/>
      <c r="AG21" s="31"/>
      <c r="AH21" s="61"/>
      <c r="AI21" s="60"/>
      <c r="AJ21" s="31"/>
      <c r="AK21" s="61"/>
      <c r="AL21" s="60"/>
      <c r="AM21" s="31"/>
      <c r="AN21" s="61"/>
      <c r="AO21" s="60"/>
      <c r="AP21" s="31"/>
      <c r="AQ21" s="61"/>
    </row>
    <row r="22" ht="33.75" customHeight="1">
      <c r="A22" s="63"/>
      <c r="B22" s="51" t="str">
        <f>VLOOKUP(C22,[1]Saldo!A21:B31294,2,0)</f>
        <v>#ERROR!</v>
      </c>
      <c r="C22" s="88" t="s">
        <v>1078</v>
      </c>
      <c r="D22" s="88" t="str">
        <f t="shared" si="3"/>
        <v>#REF!</v>
      </c>
      <c r="E22" s="137">
        <v>2.0</v>
      </c>
      <c r="F22" s="88">
        <v>4000.0</v>
      </c>
      <c r="G22" s="128">
        <f>'PAINEL DE CONTROLE'!$J$8</f>
        <v>6545</v>
      </c>
      <c r="H22" s="128">
        <v>0.0</v>
      </c>
      <c r="I22" s="128">
        <f t="shared" si="1"/>
        <v>4000</v>
      </c>
      <c r="J22" s="128">
        <f t="shared" si="2"/>
        <v>-2545</v>
      </c>
      <c r="K22" s="60"/>
      <c r="L22" s="31"/>
      <c r="M22" s="61"/>
      <c r="N22" s="60"/>
      <c r="O22" s="31"/>
      <c r="P22" s="61"/>
      <c r="Q22" s="60"/>
      <c r="R22" s="31"/>
      <c r="S22" s="61"/>
      <c r="T22" s="60"/>
      <c r="U22" s="31"/>
      <c r="V22" s="61"/>
      <c r="W22" s="60"/>
      <c r="X22" s="31"/>
      <c r="Y22" s="61"/>
      <c r="Z22" s="60"/>
      <c r="AA22" s="31"/>
      <c r="AB22" s="61"/>
      <c r="AC22" s="60"/>
      <c r="AD22" s="31"/>
      <c r="AE22" s="61"/>
      <c r="AF22" s="60"/>
      <c r="AG22" s="31"/>
      <c r="AH22" s="61"/>
      <c r="AI22" s="60"/>
      <c r="AJ22" s="31"/>
      <c r="AK22" s="61"/>
      <c r="AL22" s="60"/>
      <c r="AM22" s="31"/>
      <c r="AN22" s="61"/>
      <c r="AO22" s="60"/>
      <c r="AP22" s="31"/>
      <c r="AQ22" s="61"/>
    </row>
    <row r="23" ht="33.75" customHeight="1">
      <c r="A23" s="51" t="s">
        <v>1079</v>
      </c>
      <c r="B23" s="51" t="str">
        <f>VLOOKUP(C23,[1]Saldo!A22:B31295,2,0)</f>
        <v>#ERROR!</v>
      </c>
      <c r="C23" s="88" t="s">
        <v>1080</v>
      </c>
      <c r="D23" s="88" t="str">
        <f t="shared" si="3"/>
        <v>#REF!</v>
      </c>
      <c r="E23" s="137">
        <v>2.0</v>
      </c>
      <c r="F23" s="88">
        <v>4000.0</v>
      </c>
      <c r="G23" s="128">
        <f>'PAINEL DE CONTROLE'!$J$8</f>
        <v>6545</v>
      </c>
      <c r="H23" s="128">
        <v>0.0</v>
      </c>
      <c r="I23" s="128">
        <f t="shared" si="1"/>
        <v>4000</v>
      </c>
      <c r="J23" s="128">
        <f t="shared" si="2"/>
        <v>-2545</v>
      </c>
      <c r="K23" s="60"/>
      <c r="L23" s="31"/>
      <c r="M23" s="61"/>
      <c r="N23" s="60"/>
      <c r="O23" s="31"/>
      <c r="P23" s="61"/>
      <c r="Q23" s="60"/>
      <c r="R23" s="31"/>
      <c r="S23" s="61"/>
      <c r="T23" s="60"/>
      <c r="U23" s="31"/>
      <c r="V23" s="61"/>
      <c r="W23" s="60"/>
      <c r="X23" s="31"/>
      <c r="Y23" s="61"/>
      <c r="Z23" s="60"/>
      <c r="AA23" s="31"/>
      <c r="AB23" s="61"/>
      <c r="AC23" s="60"/>
      <c r="AD23" s="31"/>
      <c r="AE23" s="61"/>
      <c r="AF23" s="60"/>
      <c r="AG23" s="31"/>
      <c r="AH23" s="61"/>
      <c r="AI23" s="60"/>
      <c r="AJ23" s="31"/>
      <c r="AK23" s="61"/>
      <c r="AL23" s="60"/>
      <c r="AM23" s="31"/>
      <c r="AN23" s="61"/>
      <c r="AO23" s="60"/>
      <c r="AP23" s="31"/>
      <c r="AQ23" s="61"/>
    </row>
    <row r="24" ht="33.75" customHeight="1">
      <c r="A24" s="64" t="s">
        <v>1081</v>
      </c>
      <c r="B24" s="51" t="str">
        <f>VLOOKUP(C24,[1]Saldo!A23:B31296,2,0)</f>
        <v>#ERROR!</v>
      </c>
      <c r="C24" s="88" t="s">
        <v>1082</v>
      </c>
      <c r="D24" s="88" t="str">
        <f t="shared" si="3"/>
        <v>#REF!</v>
      </c>
      <c r="E24" s="137">
        <v>2.0</v>
      </c>
      <c r="F24" s="88">
        <v>4000.0</v>
      </c>
      <c r="G24" s="128">
        <f>'PAINEL DE CONTROLE'!$J$8</f>
        <v>6545</v>
      </c>
      <c r="H24" s="128">
        <v>0.0</v>
      </c>
      <c r="I24" s="128">
        <f t="shared" si="1"/>
        <v>4000</v>
      </c>
      <c r="J24" s="128">
        <f t="shared" si="2"/>
        <v>-2545</v>
      </c>
      <c r="K24" s="60"/>
      <c r="L24" s="31"/>
      <c r="M24" s="61"/>
      <c r="N24" s="60"/>
      <c r="O24" s="31"/>
      <c r="P24" s="61"/>
      <c r="Q24" s="60"/>
      <c r="R24" s="31"/>
      <c r="S24" s="61"/>
      <c r="T24" s="60"/>
      <c r="U24" s="31"/>
      <c r="V24" s="61"/>
      <c r="W24" s="60"/>
      <c r="X24" s="31"/>
      <c r="Y24" s="61"/>
      <c r="Z24" s="60"/>
      <c r="AA24" s="31"/>
      <c r="AB24" s="61"/>
      <c r="AC24" s="60"/>
      <c r="AD24" s="31"/>
      <c r="AE24" s="61"/>
      <c r="AF24" s="60"/>
      <c r="AG24" s="31"/>
      <c r="AH24" s="61"/>
      <c r="AI24" s="60"/>
      <c r="AJ24" s="31"/>
      <c r="AK24" s="61"/>
      <c r="AL24" s="60"/>
      <c r="AM24" s="31"/>
      <c r="AN24" s="61"/>
      <c r="AO24" s="60"/>
      <c r="AP24" s="31"/>
      <c r="AQ24" s="61"/>
    </row>
    <row r="25" ht="33.75" customHeight="1">
      <c r="A25" s="62"/>
      <c r="B25" s="51" t="str">
        <f>VLOOKUP(C25,[1]Saldo!A24:B31297,2,0)</f>
        <v>#ERROR!</v>
      </c>
      <c r="C25" s="88" t="s">
        <v>1083</v>
      </c>
      <c r="D25" s="88" t="str">
        <f t="shared" si="3"/>
        <v>#REF!</v>
      </c>
      <c r="E25" s="137">
        <v>10.0</v>
      </c>
      <c r="F25" s="88">
        <v>4000.0</v>
      </c>
      <c r="G25" s="128">
        <f>'PAINEL DE CONTROLE'!$J$8</f>
        <v>6545</v>
      </c>
      <c r="H25" s="128">
        <v>0.0</v>
      </c>
      <c r="I25" s="128">
        <f t="shared" si="1"/>
        <v>4000</v>
      </c>
      <c r="J25" s="128">
        <f t="shared" si="2"/>
        <v>-2545</v>
      </c>
      <c r="K25" s="60"/>
      <c r="L25" s="31"/>
      <c r="M25" s="61"/>
      <c r="N25" s="60"/>
      <c r="O25" s="31"/>
      <c r="P25" s="61"/>
      <c r="Q25" s="60"/>
      <c r="R25" s="31"/>
      <c r="S25" s="61"/>
      <c r="T25" s="60"/>
      <c r="U25" s="31"/>
      <c r="V25" s="61"/>
      <c r="W25" s="60"/>
      <c r="X25" s="31"/>
      <c r="Y25" s="61"/>
      <c r="Z25" s="60"/>
      <c r="AA25" s="31"/>
      <c r="AB25" s="61"/>
      <c r="AC25" s="60"/>
      <c r="AD25" s="31"/>
      <c r="AE25" s="61"/>
      <c r="AF25" s="60"/>
      <c r="AG25" s="31"/>
      <c r="AH25" s="61"/>
      <c r="AI25" s="60"/>
      <c r="AJ25" s="31"/>
      <c r="AK25" s="61"/>
      <c r="AL25" s="60"/>
      <c r="AM25" s="31"/>
      <c r="AN25" s="61"/>
      <c r="AO25" s="60"/>
      <c r="AP25" s="31"/>
      <c r="AQ25" s="61"/>
    </row>
    <row r="26" ht="33.75" customHeight="1">
      <c r="A26" s="62"/>
      <c r="B26" s="51" t="str">
        <f>VLOOKUP(C26,[1]Saldo!A25:B31298,2,0)</f>
        <v>#ERROR!</v>
      </c>
      <c r="C26" s="88" t="s">
        <v>1084</v>
      </c>
      <c r="D26" s="88" t="str">
        <f t="shared" si="3"/>
        <v>#REF!</v>
      </c>
      <c r="E26" s="137">
        <v>2.0</v>
      </c>
      <c r="F26" s="88">
        <v>4000.0</v>
      </c>
      <c r="G26" s="128">
        <f>'PAINEL DE CONTROLE'!$J$8</f>
        <v>6545</v>
      </c>
      <c r="H26" s="128">
        <v>0.0</v>
      </c>
      <c r="I26" s="128">
        <f t="shared" si="1"/>
        <v>4000</v>
      </c>
      <c r="J26" s="128">
        <f t="shared" si="2"/>
        <v>-2545</v>
      </c>
      <c r="K26" s="60"/>
      <c r="L26" s="31"/>
      <c r="M26" s="61"/>
      <c r="N26" s="60"/>
      <c r="O26" s="31"/>
      <c r="P26" s="61"/>
      <c r="Q26" s="60"/>
      <c r="R26" s="31"/>
      <c r="S26" s="61"/>
      <c r="T26" s="60"/>
      <c r="U26" s="31"/>
      <c r="V26" s="61"/>
      <c r="W26" s="60"/>
      <c r="X26" s="31"/>
      <c r="Y26" s="61"/>
      <c r="Z26" s="60"/>
      <c r="AA26" s="31"/>
      <c r="AB26" s="61"/>
      <c r="AC26" s="60"/>
      <c r="AD26" s="31"/>
      <c r="AE26" s="61"/>
      <c r="AF26" s="60"/>
      <c r="AG26" s="31"/>
      <c r="AH26" s="61"/>
      <c r="AI26" s="60"/>
      <c r="AJ26" s="31"/>
      <c r="AK26" s="61"/>
      <c r="AL26" s="60"/>
      <c r="AM26" s="31"/>
      <c r="AN26" s="61"/>
      <c r="AO26" s="60"/>
      <c r="AP26" s="31"/>
      <c r="AQ26" s="61"/>
    </row>
    <row r="27" ht="33.75" customHeight="1">
      <c r="A27" s="62"/>
      <c r="B27" s="51" t="str">
        <f>VLOOKUP(C27,[1]Saldo!A26:B31299,2,0)</f>
        <v>#ERROR!</v>
      </c>
      <c r="C27" s="88" t="s">
        <v>1085</v>
      </c>
      <c r="D27" s="88" t="str">
        <f t="shared" si="3"/>
        <v>#REF!</v>
      </c>
      <c r="E27" s="137">
        <v>1.0</v>
      </c>
      <c r="F27" s="88">
        <v>4000.0</v>
      </c>
      <c r="G27" s="128">
        <f>'PAINEL DE CONTROLE'!$J$8</f>
        <v>6545</v>
      </c>
      <c r="H27" s="128">
        <v>0.0</v>
      </c>
      <c r="I27" s="128">
        <f t="shared" si="1"/>
        <v>4000</v>
      </c>
      <c r="J27" s="128">
        <f t="shared" si="2"/>
        <v>-2545</v>
      </c>
      <c r="K27" s="60"/>
      <c r="L27" s="31"/>
      <c r="M27" s="61"/>
      <c r="N27" s="60"/>
      <c r="O27" s="31"/>
      <c r="P27" s="61"/>
      <c r="Q27" s="60"/>
      <c r="R27" s="31"/>
      <c r="S27" s="61"/>
      <c r="T27" s="60"/>
      <c r="U27" s="31"/>
      <c r="V27" s="61"/>
      <c r="W27" s="60"/>
      <c r="X27" s="31"/>
      <c r="Y27" s="61"/>
      <c r="Z27" s="60"/>
      <c r="AA27" s="31"/>
      <c r="AB27" s="61"/>
      <c r="AC27" s="60"/>
      <c r="AD27" s="31"/>
      <c r="AE27" s="61"/>
      <c r="AF27" s="60"/>
      <c r="AG27" s="31"/>
      <c r="AH27" s="61"/>
      <c r="AI27" s="60"/>
      <c r="AJ27" s="31"/>
      <c r="AK27" s="61"/>
      <c r="AL27" s="60"/>
      <c r="AM27" s="31"/>
      <c r="AN27" s="61"/>
      <c r="AO27" s="60"/>
      <c r="AP27" s="31"/>
      <c r="AQ27" s="61"/>
    </row>
    <row r="28" ht="33.75" customHeight="1">
      <c r="A28" s="62"/>
      <c r="B28" s="51" t="str">
        <f>VLOOKUP(C28,[1]Saldo!A27:B31300,2,0)</f>
        <v>#ERROR!</v>
      </c>
      <c r="C28" s="88" t="s">
        <v>1086</v>
      </c>
      <c r="D28" s="88" t="str">
        <f t="shared" si="3"/>
        <v>#REF!</v>
      </c>
      <c r="E28" s="137">
        <v>2.0</v>
      </c>
      <c r="F28" s="88">
        <v>4000.0</v>
      </c>
      <c r="G28" s="128">
        <f>'PAINEL DE CONTROLE'!$J$8</f>
        <v>6545</v>
      </c>
      <c r="H28" s="128">
        <v>0.0</v>
      </c>
      <c r="I28" s="128">
        <f t="shared" si="1"/>
        <v>4000</v>
      </c>
      <c r="J28" s="128">
        <f t="shared" si="2"/>
        <v>-2545</v>
      </c>
      <c r="K28" s="60"/>
      <c r="L28" s="31"/>
      <c r="M28" s="61"/>
      <c r="N28" s="60"/>
      <c r="O28" s="31"/>
      <c r="P28" s="61"/>
      <c r="Q28" s="60"/>
      <c r="R28" s="31"/>
      <c r="S28" s="61"/>
      <c r="T28" s="60"/>
      <c r="U28" s="31"/>
      <c r="V28" s="61"/>
      <c r="W28" s="60"/>
      <c r="X28" s="31"/>
      <c r="Y28" s="61"/>
      <c r="Z28" s="60"/>
      <c r="AA28" s="31"/>
      <c r="AB28" s="61"/>
      <c r="AC28" s="60"/>
      <c r="AD28" s="31"/>
      <c r="AE28" s="61"/>
      <c r="AF28" s="60"/>
      <c r="AG28" s="31"/>
      <c r="AH28" s="61"/>
      <c r="AI28" s="60"/>
      <c r="AJ28" s="31"/>
      <c r="AK28" s="61"/>
      <c r="AL28" s="60"/>
      <c r="AM28" s="31"/>
      <c r="AN28" s="61"/>
      <c r="AO28" s="60"/>
      <c r="AP28" s="31"/>
      <c r="AQ28" s="61"/>
    </row>
    <row r="29" ht="33.75" customHeight="1">
      <c r="A29" s="62"/>
      <c r="B29" s="51" t="str">
        <f>VLOOKUP(C29,[1]Saldo!A28:B31301,2,0)</f>
        <v>#ERROR!</v>
      </c>
      <c r="C29" s="88" t="s">
        <v>1087</v>
      </c>
      <c r="D29" s="88" t="str">
        <f t="shared" si="3"/>
        <v>#REF!</v>
      </c>
      <c r="E29" s="137">
        <v>1.0</v>
      </c>
      <c r="F29" s="88">
        <v>4000.0</v>
      </c>
      <c r="G29" s="128">
        <f>'PAINEL DE CONTROLE'!$J$8</f>
        <v>6545</v>
      </c>
      <c r="H29" s="128">
        <v>0.0</v>
      </c>
      <c r="I29" s="128">
        <f t="shared" si="1"/>
        <v>4000</v>
      </c>
      <c r="J29" s="128">
        <f t="shared" si="2"/>
        <v>-2545</v>
      </c>
      <c r="K29" s="60"/>
      <c r="L29" s="31"/>
      <c r="M29" s="61"/>
      <c r="N29" s="60"/>
      <c r="O29" s="31"/>
      <c r="P29" s="61"/>
      <c r="Q29" s="60"/>
      <c r="R29" s="31"/>
      <c r="S29" s="61"/>
      <c r="T29" s="60"/>
      <c r="U29" s="31"/>
      <c r="V29" s="61"/>
      <c r="W29" s="60"/>
      <c r="X29" s="31"/>
      <c r="Y29" s="61"/>
      <c r="Z29" s="60"/>
      <c r="AA29" s="31"/>
      <c r="AB29" s="61"/>
      <c r="AC29" s="60"/>
      <c r="AD29" s="31"/>
      <c r="AE29" s="61"/>
      <c r="AF29" s="60"/>
      <c r="AG29" s="31"/>
      <c r="AH29" s="61"/>
      <c r="AI29" s="60"/>
      <c r="AJ29" s="31"/>
      <c r="AK29" s="61"/>
      <c r="AL29" s="60"/>
      <c r="AM29" s="31"/>
      <c r="AN29" s="61"/>
      <c r="AO29" s="60"/>
      <c r="AP29" s="31"/>
      <c r="AQ29" s="61"/>
    </row>
    <row r="30" ht="33.75" customHeight="1">
      <c r="A30" s="62"/>
      <c r="B30" s="51" t="str">
        <f>VLOOKUP(C30,[1]Saldo!A29:B31302,2,0)</f>
        <v>#ERROR!</v>
      </c>
      <c r="C30" s="88" t="s">
        <v>1088</v>
      </c>
      <c r="D30" s="88" t="str">
        <f t="shared" si="3"/>
        <v>#REF!</v>
      </c>
      <c r="E30" s="137">
        <v>2.0</v>
      </c>
      <c r="F30" s="88">
        <v>4000.0</v>
      </c>
      <c r="G30" s="128">
        <f>'PAINEL DE CONTROLE'!$J$8</f>
        <v>6545</v>
      </c>
      <c r="H30" s="128">
        <v>0.0</v>
      </c>
      <c r="I30" s="128">
        <f t="shared" si="1"/>
        <v>4000</v>
      </c>
      <c r="J30" s="128">
        <f t="shared" si="2"/>
        <v>-2545</v>
      </c>
      <c r="K30" s="60"/>
      <c r="L30" s="31"/>
      <c r="M30" s="61"/>
      <c r="N30" s="60"/>
      <c r="O30" s="31"/>
      <c r="P30" s="61"/>
      <c r="Q30" s="60"/>
      <c r="R30" s="31"/>
      <c r="S30" s="61"/>
      <c r="T30" s="60"/>
      <c r="U30" s="31"/>
      <c r="V30" s="61"/>
      <c r="W30" s="60"/>
      <c r="X30" s="31"/>
      <c r="Y30" s="61"/>
      <c r="Z30" s="60"/>
      <c r="AA30" s="31"/>
      <c r="AB30" s="61"/>
      <c r="AC30" s="60"/>
      <c r="AD30" s="31"/>
      <c r="AE30" s="61"/>
      <c r="AF30" s="60"/>
      <c r="AG30" s="31"/>
      <c r="AH30" s="61"/>
      <c r="AI30" s="60"/>
      <c r="AJ30" s="31"/>
      <c r="AK30" s="61"/>
      <c r="AL30" s="60"/>
      <c r="AM30" s="31"/>
      <c r="AN30" s="61"/>
      <c r="AO30" s="60"/>
      <c r="AP30" s="31"/>
      <c r="AQ30" s="61"/>
    </row>
    <row r="31" ht="33.75" customHeight="1">
      <c r="A31" s="62"/>
      <c r="B31" s="51" t="str">
        <f>VLOOKUP(C31,[1]Saldo!A30:B31303,2,0)</f>
        <v>#ERROR!</v>
      </c>
      <c r="C31" s="88" t="s">
        <v>1089</v>
      </c>
      <c r="D31" s="88" t="str">
        <f t="shared" si="3"/>
        <v>#REF!</v>
      </c>
      <c r="E31" s="137">
        <v>2.0</v>
      </c>
      <c r="F31" s="88">
        <v>4000.0</v>
      </c>
      <c r="G31" s="128">
        <f>'PAINEL DE CONTROLE'!$J$8</f>
        <v>6545</v>
      </c>
      <c r="H31" s="128">
        <v>0.0</v>
      </c>
      <c r="I31" s="128">
        <f t="shared" si="1"/>
        <v>4000</v>
      </c>
      <c r="J31" s="128">
        <f t="shared" si="2"/>
        <v>-2545</v>
      </c>
      <c r="K31" s="60"/>
      <c r="L31" s="31"/>
      <c r="M31" s="61"/>
      <c r="N31" s="60"/>
      <c r="O31" s="31"/>
      <c r="P31" s="61"/>
      <c r="Q31" s="60"/>
      <c r="R31" s="31"/>
      <c r="S31" s="61"/>
      <c r="T31" s="60"/>
      <c r="U31" s="31"/>
      <c r="V31" s="61"/>
      <c r="W31" s="60"/>
      <c r="X31" s="31"/>
      <c r="Y31" s="61"/>
      <c r="Z31" s="60"/>
      <c r="AA31" s="31"/>
      <c r="AB31" s="61"/>
      <c r="AC31" s="60"/>
      <c r="AD31" s="31"/>
      <c r="AE31" s="61"/>
      <c r="AF31" s="60"/>
      <c r="AG31" s="31"/>
      <c r="AH31" s="61"/>
      <c r="AI31" s="60"/>
      <c r="AJ31" s="31"/>
      <c r="AK31" s="61"/>
      <c r="AL31" s="60"/>
      <c r="AM31" s="31"/>
      <c r="AN31" s="61"/>
      <c r="AO31" s="60"/>
      <c r="AP31" s="31"/>
      <c r="AQ31" s="61"/>
    </row>
    <row r="32" ht="33.75" customHeight="1">
      <c r="A32" s="62"/>
      <c r="B32" s="51" t="str">
        <f>VLOOKUP(C32,[1]Saldo!A31:B31304,2,0)</f>
        <v>#ERROR!</v>
      </c>
      <c r="C32" s="88" t="s">
        <v>1090</v>
      </c>
      <c r="D32" s="88" t="str">
        <f t="shared" si="3"/>
        <v>#REF!</v>
      </c>
      <c r="E32" s="137">
        <v>1.0</v>
      </c>
      <c r="F32" s="88">
        <v>4000.0</v>
      </c>
      <c r="G32" s="128">
        <f>'PAINEL DE CONTROLE'!$J$8</f>
        <v>6545</v>
      </c>
      <c r="H32" s="128">
        <v>0.0</v>
      </c>
      <c r="I32" s="128">
        <f t="shared" si="1"/>
        <v>4000</v>
      </c>
      <c r="J32" s="128">
        <f t="shared" si="2"/>
        <v>-2545</v>
      </c>
      <c r="K32" s="60"/>
      <c r="L32" s="31"/>
      <c r="M32" s="61"/>
      <c r="N32" s="60"/>
      <c r="O32" s="31"/>
      <c r="P32" s="61"/>
      <c r="Q32" s="60"/>
      <c r="R32" s="31"/>
      <c r="S32" s="61"/>
      <c r="T32" s="60"/>
      <c r="U32" s="31"/>
      <c r="V32" s="61"/>
      <c r="W32" s="60"/>
      <c r="X32" s="31"/>
      <c r="Y32" s="61"/>
      <c r="Z32" s="60"/>
      <c r="AA32" s="31"/>
      <c r="AB32" s="61"/>
      <c r="AC32" s="60"/>
      <c r="AD32" s="31"/>
      <c r="AE32" s="61"/>
      <c r="AF32" s="60"/>
      <c r="AG32" s="31"/>
      <c r="AH32" s="61"/>
      <c r="AI32" s="60"/>
      <c r="AJ32" s="31"/>
      <c r="AK32" s="61"/>
      <c r="AL32" s="60"/>
      <c r="AM32" s="31"/>
      <c r="AN32" s="61"/>
      <c r="AO32" s="60"/>
      <c r="AP32" s="31"/>
      <c r="AQ32" s="61"/>
    </row>
    <row r="33" ht="33.75" customHeight="1">
      <c r="A33" s="63"/>
      <c r="B33" s="51" t="str">
        <f>VLOOKUP(C33,[1]Saldo!A32:B31305,2,0)</f>
        <v>#ERROR!</v>
      </c>
      <c r="C33" s="88" t="s">
        <v>1091</v>
      </c>
      <c r="D33" s="88" t="str">
        <f t="shared" si="3"/>
        <v>#REF!</v>
      </c>
      <c r="E33" s="137">
        <v>2.0</v>
      </c>
      <c r="F33" s="88">
        <v>4000.0</v>
      </c>
      <c r="G33" s="128">
        <f>'PAINEL DE CONTROLE'!$J$8</f>
        <v>6545</v>
      </c>
      <c r="H33" s="128">
        <v>0.0</v>
      </c>
      <c r="I33" s="128">
        <f t="shared" si="1"/>
        <v>4000</v>
      </c>
      <c r="J33" s="128">
        <f t="shared" si="2"/>
        <v>-2545</v>
      </c>
      <c r="K33" s="60"/>
      <c r="L33" s="31"/>
      <c r="M33" s="61"/>
      <c r="N33" s="60"/>
      <c r="O33" s="31"/>
      <c r="P33" s="61"/>
      <c r="Q33" s="60"/>
      <c r="R33" s="31"/>
      <c r="S33" s="61"/>
      <c r="T33" s="60"/>
      <c r="U33" s="31"/>
      <c r="V33" s="61"/>
      <c r="W33" s="60"/>
      <c r="X33" s="31"/>
      <c r="Y33" s="61"/>
      <c r="Z33" s="60"/>
      <c r="AA33" s="31"/>
      <c r="AB33" s="61"/>
      <c r="AC33" s="60"/>
      <c r="AD33" s="31"/>
      <c r="AE33" s="61"/>
      <c r="AF33" s="60"/>
      <c r="AG33" s="31"/>
      <c r="AH33" s="61"/>
      <c r="AI33" s="60"/>
      <c r="AJ33" s="31"/>
      <c r="AK33" s="61"/>
      <c r="AL33" s="60"/>
      <c r="AM33" s="31"/>
      <c r="AN33" s="61"/>
      <c r="AO33" s="60"/>
      <c r="AP33" s="31"/>
      <c r="AQ33" s="61"/>
    </row>
    <row r="34" ht="33.75" customHeight="1">
      <c r="A34" s="64" t="s">
        <v>87</v>
      </c>
      <c r="B34" s="51" t="str">
        <f>VLOOKUP(C34,[1]Saldo!A33:B31306,2,0)</f>
        <v>#ERROR!</v>
      </c>
      <c r="C34" s="88" t="s">
        <v>1092</v>
      </c>
      <c r="D34" s="88" t="str">
        <f t="shared" si="3"/>
        <v>#REF!</v>
      </c>
      <c r="E34" s="137">
        <v>1.0</v>
      </c>
      <c r="F34" s="88">
        <v>4000.0</v>
      </c>
      <c r="G34" s="128">
        <f>'PAINEL DE CONTROLE'!$J$8</f>
        <v>6545</v>
      </c>
      <c r="H34" s="128">
        <v>0.0</v>
      </c>
      <c r="I34" s="128">
        <f t="shared" si="1"/>
        <v>4000</v>
      </c>
      <c r="J34" s="128">
        <f t="shared" si="2"/>
        <v>-2545</v>
      </c>
      <c r="K34" s="60"/>
      <c r="L34" s="31"/>
      <c r="M34" s="61"/>
      <c r="N34" s="60"/>
      <c r="O34" s="31"/>
      <c r="P34" s="61"/>
      <c r="Q34" s="60"/>
      <c r="R34" s="31"/>
      <c r="S34" s="61"/>
      <c r="T34" s="60"/>
      <c r="U34" s="31"/>
      <c r="V34" s="61"/>
      <c r="W34" s="60"/>
      <c r="X34" s="31"/>
      <c r="Y34" s="61"/>
      <c r="Z34" s="60"/>
      <c r="AA34" s="31"/>
      <c r="AB34" s="61"/>
      <c r="AC34" s="60"/>
      <c r="AD34" s="31"/>
      <c r="AE34" s="61"/>
      <c r="AF34" s="60"/>
      <c r="AG34" s="31"/>
      <c r="AH34" s="61"/>
      <c r="AI34" s="60"/>
      <c r="AJ34" s="31"/>
      <c r="AK34" s="61"/>
      <c r="AL34" s="60"/>
      <c r="AM34" s="31"/>
      <c r="AN34" s="61"/>
      <c r="AO34" s="60"/>
      <c r="AP34" s="31"/>
      <c r="AQ34" s="61"/>
    </row>
    <row r="35" ht="33.75" customHeight="1">
      <c r="A35" s="62"/>
      <c r="B35" s="51" t="str">
        <f>VLOOKUP(C35,[1]Saldo!A34:B31307,2,0)</f>
        <v>#ERROR!</v>
      </c>
      <c r="C35" s="88" t="s">
        <v>1074</v>
      </c>
      <c r="D35" s="88" t="str">
        <f t="shared" si="3"/>
        <v>#REF!</v>
      </c>
      <c r="E35" s="137">
        <v>2.0</v>
      </c>
      <c r="F35" s="88">
        <v>4000.0</v>
      </c>
      <c r="G35" s="128">
        <f>'PAINEL DE CONTROLE'!$J$8</f>
        <v>6545</v>
      </c>
      <c r="H35" s="128">
        <v>0.0</v>
      </c>
      <c r="I35" s="128">
        <f t="shared" si="1"/>
        <v>4000</v>
      </c>
      <c r="J35" s="128">
        <f t="shared" si="2"/>
        <v>-2545</v>
      </c>
      <c r="K35" s="60"/>
      <c r="L35" s="31"/>
      <c r="M35" s="61"/>
      <c r="N35" s="60"/>
      <c r="O35" s="31"/>
      <c r="P35" s="61"/>
      <c r="Q35" s="60"/>
      <c r="R35" s="31"/>
      <c r="S35" s="61"/>
      <c r="T35" s="60"/>
      <c r="U35" s="31"/>
      <c r="V35" s="61"/>
      <c r="W35" s="60"/>
      <c r="X35" s="31"/>
      <c r="Y35" s="61"/>
      <c r="Z35" s="60"/>
      <c r="AA35" s="31"/>
      <c r="AB35" s="61"/>
      <c r="AC35" s="60"/>
      <c r="AD35" s="31"/>
      <c r="AE35" s="61"/>
      <c r="AF35" s="60"/>
      <c r="AG35" s="31"/>
      <c r="AH35" s="61"/>
      <c r="AI35" s="60"/>
      <c r="AJ35" s="31"/>
      <c r="AK35" s="61"/>
      <c r="AL35" s="60"/>
      <c r="AM35" s="31"/>
      <c r="AN35" s="61"/>
      <c r="AO35" s="60"/>
      <c r="AP35" s="31"/>
      <c r="AQ35" s="61"/>
    </row>
    <row r="36" ht="33.75" customHeight="1">
      <c r="A36" s="62"/>
      <c r="B36" s="51" t="str">
        <f>VLOOKUP(C36,[1]Saldo!A35:B31308,2,0)</f>
        <v>#ERROR!</v>
      </c>
      <c r="C36" s="88" t="s">
        <v>1093</v>
      </c>
      <c r="D36" s="88" t="str">
        <f t="shared" si="3"/>
        <v>#REF!</v>
      </c>
      <c r="E36" s="137">
        <v>1.0</v>
      </c>
      <c r="F36" s="88">
        <v>4000.0</v>
      </c>
      <c r="G36" s="128">
        <f>'PAINEL DE CONTROLE'!$J$8</f>
        <v>6545</v>
      </c>
      <c r="H36" s="128">
        <v>0.0</v>
      </c>
      <c r="I36" s="128">
        <f t="shared" si="1"/>
        <v>4000</v>
      </c>
      <c r="J36" s="128">
        <f t="shared" si="2"/>
        <v>-2545</v>
      </c>
      <c r="K36" s="60"/>
      <c r="L36" s="31"/>
      <c r="M36" s="61"/>
      <c r="N36" s="60"/>
      <c r="O36" s="31"/>
      <c r="P36" s="61"/>
      <c r="Q36" s="60"/>
      <c r="R36" s="31"/>
      <c r="S36" s="61"/>
      <c r="T36" s="60"/>
      <c r="U36" s="31"/>
      <c r="V36" s="61"/>
      <c r="W36" s="60"/>
      <c r="X36" s="31"/>
      <c r="Y36" s="61"/>
      <c r="Z36" s="60"/>
      <c r="AA36" s="31"/>
      <c r="AB36" s="61"/>
      <c r="AC36" s="60"/>
      <c r="AD36" s="31"/>
      <c r="AE36" s="61"/>
      <c r="AF36" s="60"/>
      <c r="AG36" s="31"/>
      <c r="AH36" s="61"/>
      <c r="AI36" s="60"/>
      <c r="AJ36" s="31"/>
      <c r="AK36" s="61"/>
      <c r="AL36" s="60"/>
      <c r="AM36" s="31"/>
      <c r="AN36" s="61"/>
      <c r="AO36" s="60"/>
      <c r="AP36" s="31"/>
      <c r="AQ36" s="61"/>
    </row>
    <row r="37" ht="33.75" customHeight="1">
      <c r="A37" s="62"/>
      <c r="B37" s="51" t="str">
        <f>VLOOKUP(C37,[1]Saldo!A36:B31309,2,0)</f>
        <v>#ERROR!</v>
      </c>
      <c r="C37" s="88" t="s">
        <v>1094</v>
      </c>
      <c r="D37" s="88" t="str">
        <f t="shared" si="3"/>
        <v>#REF!</v>
      </c>
      <c r="E37" s="137">
        <v>2.0</v>
      </c>
      <c r="F37" s="88">
        <v>4000.0</v>
      </c>
      <c r="G37" s="128">
        <f>'PAINEL DE CONTROLE'!$J$8</f>
        <v>6545</v>
      </c>
      <c r="H37" s="128">
        <v>0.0</v>
      </c>
      <c r="I37" s="128">
        <f t="shared" si="1"/>
        <v>4000</v>
      </c>
      <c r="J37" s="128">
        <f t="shared" si="2"/>
        <v>-2545</v>
      </c>
      <c r="K37" s="60"/>
      <c r="L37" s="31"/>
      <c r="M37" s="61"/>
      <c r="N37" s="60"/>
      <c r="O37" s="31"/>
      <c r="P37" s="61"/>
      <c r="Q37" s="60"/>
      <c r="R37" s="31"/>
      <c r="S37" s="61"/>
      <c r="T37" s="60"/>
      <c r="U37" s="31"/>
      <c r="V37" s="61"/>
      <c r="W37" s="60"/>
      <c r="X37" s="31"/>
      <c r="Y37" s="61"/>
      <c r="Z37" s="60"/>
      <c r="AA37" s="31"/>
      <c r="AB37" s="61"/>
      <c r="AC37" s="60"/>
      <c r="AD37" s="31"/>
      <c r="AE37" s="61"/>
      <c r="AF37" s="60"/>
      <c r="AG37" s="31"/>
      <c r="AH37" s="61"/>
      <c r="AI37" s="60"/>
      <c r="AJ37" s="31"/>
      <c r="AK37" s="61"/>
      <c r="AL37" s="60"/>
      <c r="AM37" s="31"/>
      <c r="AN37" s="61"/>
      <c r="AO37" s="60"/>
      <c r="AP37" s="31"/>
      <c r="AQ37" s="61"/>
    </row>
    <row r="38" ht="33.75" customHeight="1">
      <c r="A38" s="62"/>
      <c r="B38" s="51" t="str">
        <f>VLOOKUP(C38,[1]Saldo!A37:B31310,2,0)</f>
        <v>#ERROR!</v>
      </c>
      <c r="C38" s="88" t="s">
        <v>1095</v>
      </c>
      <c r="D38" s="88" t="str">
        <f t="shared" si="3"/>
        <v>#REF!</v>
      </c>
      <c r="E38" s="137">
        <v>8.0</v>
      </c>
      <c r="F38" s="88">
        <v>4000.0</v>
      </c>
      <c r="G38" s="128">
        <f>'PAINEL DE CONTROLE'!$J$8</f>
        <v>6545</v>
      </c>
      <c r="H38" s="128">
        <v>0.0</v>
      </c>
      <c r="I38" s="128">
        <f t="shared" si="1"/>
        <v>4000</v>
      </c>
      <c r="J38" s="128">
        <f t="shared" si="2"/>
        <v>-2545</v>
      </c>
      <c r="K38" s="60"/>
      <c r="L38" s="31"/>
      <c r="M38" s="61"/>
      <c r="N38" s="60"/>
      <c r="O38" s="31"/>
      <c r="P38" s="61"/>
      <c r="Q38" s="60"/>
      <c r="R38" s="31"/>
      <c r="S38" s="61"/>
      <c r="T38" s="60"/>
      <c r="U38" s="31"/>
      <c r="V38" s="61"/>
      <c r="W38" s="60"/>
      <c r="X38" s="31"/>
      <c r="Y38" s="61"/>
      <c r="Z38" s="60"/>
      <c r="AA38" s="31"/>
      <c r="AB38" s="61"/>
      <c r="AC38" s="60"/>
      <c r="AD38" s="31"/>
      <c r="AE38" s="61"/>
      <c r="AF38" s="60"/>
      <c r="AG38" s="31"/>
      <c r="AH38" s="61"/>
      <c r="AI38" s="60"/>
      <c r="AJ38" s="31"/>
      <c r="AK38" s="61"/>
      <c r="AL38" s="60"/>
      <c r="AM38" s="31"/>
      <c r="AN38" s="61"/>
      <c r="AO38" s="60"/>
      <c r="AP38" s="31"/>
      <c r="AQ38" s="61"/>
    </row>
    <row r="39" ht="33.75" customHeight="1">
      <c r="A39" s="62"/>
      <c r="B39" s="51" t="str">
        <f>VLOOKUP(C39,[1]Saldo!A38:B31311,2,0)</f>
        <v>#ERROR!</v>
      </c>
      <c r="C39" s="88" t="s">
        <v>1096</v>
      </c>
      <c r="D39" s="88" t="str">
        <f t="shared" si="3"/>
        <v>#REF!</v>
      </c>
      <c r="E39" s="137">
        <v>4.0</v>
      </c>
      <c r="F39" s="88">
        <v>4000.0</v>
      </c>
      <c r="G39" s="128">
        <f>'PAINEL DE CONTROLE'!$J$8</f>
        <v>6545</v>
      </c>
      <c r="H39" s="128">
        <v>0.0</v>
      </c>
      <c r="I39" s="128">
        <f t="shared" si="1"/>
        <v>4000</v>
      </c>
      <c r="J39" s="128">
        <f t="shared" si="2"/>
        <v>-2545</v>
      </c>
      <c r="K39" s="60"/>
      <c r="L39" s="31"/>
      <c r="M39" s="61"/>
      <c r="N39" s="60"/>
      <c r="O39" s="31"/>
      <c r="P39" s="61"/>
      <c r="Q39" s="60"/>
      <c r="R39" s="31"/>
      <c r="S39" s="61"/>
      <c r="T39" s="60"/>
      <c r="U39" s="31"/>
      <c r="V39" s="61"/>
      <c r="W39" s="60"/>
      <c r="X39" s="31"/>
      <c r="Y39" s="61"/>
      <c r="Z39" s="60"/>
      <c r="AA39" s="31"/>
      <c r="AB39" s="61"/>
      <c r="AC39" s="60"/>
      <c r="AD39" s="31"/>
      <c r="AE39" s="61"/>
      <c r="AF39" s="60"/>
      <c r="AG39" s="31"/>
      <c r="AH39" s="61"/>
      <c r="AI39" s="60"/>
      <c r="AJ39" s="31"/>
      <c r="AK39" s="61"/>
      <c r="AL39" s="60"/>
      <c r="AM39" s="31"/>
      <c r="AN39" s="61"/>
      <c r="AO39" s="60"/>
      <c r="AP39" s="31"/>
      <c r="AQ39" s="61"/>
    </row>
    <row r="40" ht="33.75" customHeight="1">
      <c r="A40" s="62"/>
      <c r="B40" s="51" t="str">
        <f>VLOOKUP(C40,[1]Saldo!A39:B31312,2,0)</f>
        <v>#ERROR!</v>
      </c>
      <c r="C40" s="88" t="s">
        <v>1097</v>
      </c>
      <c r="D40" s="88" t="str">
        <f t="shared" si="3"/>
        <v>#REF!</v>
      </c>
      <c r="E40" s="137">
        <v>4.0</v>
      </c>
      <c r="F40" s="88">
        <v>4000.0</v>
      </c>
      <c r="G40" s="128">
        <f>'PAINEL DE CONTROLE'!$J$8</f>
        <v>6545</v>
      </c>
      <c r="H40" s="128">
        <v>0.0</v>
      </c>
      <c r="I40" s="128">
        <f t="shared" si="1"/>
        <v>4000</v>
      </c>
      <c r="J40" s="128">
        <f t="shared" si="2"/>
        <v>-2545</v>
      </c>
      <c r="K40" s="60"/>
      <c r="L40" s="31"/>
      <c r="M40" s="61"/>
      <c r="N40" s="60"/>
      <c r="O40" s="31"/>
      <c r="P40" s="61"/>
      <c r="Q40" s="60"/>
      <c r="R40" s="31"/>
      <c r="S40" s="61"/>
      <c r="T40" s="60"/>
      <c r="U40" s="31"/>
      <c r="V40" s="61"/>
      <c r="W40" s="60"/>
      <c r="X40" s="31"/>
      <c r="Y40" s="61"/>
      <c r="Z40" s="60"/>
      <c r="AA40" s="31"/>
      <c r="AB40" s="61"/>
      <c r="AC40" s="60"/>
      <c r="AD40" s="31"/>
      <c r="AE40" s="61"/>
      <c r="AF40" s="60"/>
      <c r="AG40" s="31"/>
      <c r="AH40" s="61"/>
      <c r="AI40" s="60"/>
      <c r="AJ40" s="31"/>
      <c r="AK40" s="61"/>
      <c r="AL40" s="60"/>
      <c r="AM40" s="31"/>
      <c r="AN40" s="61"/>
      <c r="AO40" s="60"/>
      <c r="AP40" s="31"/>
      <c r="AQ40" s="61"/>
    </row>
    <row r="41" ht="33.75" customHeight="1">
      <c r="A41" s="62"/>
      <c r="B41" s="51" t="str">
        <f>VLOOKUP(C41,[1]Saldo!A40:B31313,2,0)</f>
        <v>#ERROR!</v>
      </c>
      <c r="C41" s="88" t="s">
        <v>649</v>
      </c>
      <c r="D41" s="88" t="str">
        <f t="shared" si="3"/>
        <v>#REF!</v>
      </c>
      <c r="E41" s="137">
        <v>4.0</v>
      </c>
      <c r="F41" s="88">
        <v>4000.0</v>
      </c>
      <c r="G41" s="128">
        <f>'PAINEL DE CONTROLE'!$J$8</f>
        <v>6545</v>
      </c>
      <c r="H41" s="128">
        <v>0.0</v>
      </c>
      <c r="I41" s="128">
        <f t="shared" si="1"/>
        <v>4000</v>
      </c>
      <c r="J41" s="128">
        <f t="shared" si="2"/>
        <v>-2545</v>
      </c>
      <c r="K41" s="60"/>
      <c r="L41" s="31"/>
      <c r="M41" s="61"/>
      <c r="N41" s="60"/>
      <c r="O41" s="31"/>
      <c r="P41" s="61"/>
      <c r="Q41" s="60"/>
      <c r="R41" s="31"/>
      <c r="S41" s="61"/>
      <c r="T41" s="60"/>
      <c r="U41" s="31"/>
      <c r="V41" s="61"/>
      <c r="W41" s="60"/>
      <c r="X41" s="31"/>
      <c r="Y41" s="61"/>
      <c r="Z41" s="60"/>
      <c r="AA41" s="31"/>
      <c r="AB41" s="61"/>
      <c r="AC41" s="60"/>
      <c r="AD41" s="31"/>
      <c r="AE41" s="61"/>
      <c r="AF41" s="60"/>
      <c r="AG41" s="31"/>
      <c r="AH41" s="61"/>
      <c r="AI41" s="60"/>
      <c r="AJ41" s="31"/>
      <c r="AK41" s="61"/>
      <c r="AL41" s="60"/>
      <c r="AM41" s="31"/>
      <c r="AN41" s="61"/>
      <c r="AO41" s="60"/>
      <c r="AP41" s="31"/>
      <c r="AQ41" s="61"/>
    </row>
    <row r="42" ht="33.75" customHeight="1">
      <c r="A42" s="62"/>
      <c r="B42" s="51" t="str">
        <f>VLOOKUP(C42,[1]Saldo!A41:B31314,2,0)</f>
        <v>#ERROR!</v>
      </c>
      <c r="C42" s="88" t="s">
        <v>1098</v>
      </c>
      <c r="D42" s="88" t="str">
        <f t="shared" si="3"/>
        <v>#REF!</v>
      </c>
      <c r="E42" s="137">
        <v>1.0</v>
      </c>
      <c r="F42" s="88">
        <v>4000.0</v>
      </c>
      <c r="G42" s="128">
        <f>'PAINEL DE CONTROLE'!$J$8</f>
        <v>6545</v>
      </c>
      <c r="H42" s="128">
        <v>0.0</v>
      </c>
      <c r="I42" s="128">
        <f t="shared" si="1"/>
        <v>4000</v>
      </c>
      <c r="J42" s="128">
        <f t="shared" si="2"/>
        <v>-2545</v>
      </c>
      <c r="K42" s="60"/>
      <c r="L42" s="31"/>
      <c r="M42" s="61"/>
      <c r="N42" s="60"/>
      <c r="O42" s="31"/>
      <c r="P42" s="61"/>
      <c r="Q42" s="60"/>
      <c r="R42" s="31"/>
      <c r="S42" s="61"/>
      <c r="T42" s="60"/>
      <c r="U42" s="31"/>
      <c r="V42" s="61"/>
      <c r="W42" s="60"/>
      <c r="X42" s="31"/>
      <c r="Y42" s="61"/>
      <c r="Z42" s="60"/>
      <c r="AA42" s="31"/>
      <c r="AB42" s="61"/>
      <c r="AC42" s="60"/>
      <c r="AD42" s="31"/>
      <c r="AE42" s="61"/>
      <c r="AF42" s="60"/>
      <c r="AG42" s="31"/>
      <c r="AH42" s="61"/>
      <c r="AI42" s="60"/>
      <c r="AJ42" s="31"/>
      <c r="AK42" s="61"/>
      <c r="AL42" s="60"/>
      <c r="AM42" s="31"/>
      <c r="AN42" s="61"/>
      <c r="AO42" s="60"/>
      <c r="AP42" s="31"/>
      <c r="AQ42" s="61"/>
    </row>
    <row r="43" ht="33.75" customHeight="1">
      <c r="A43" s="62"/>
      <c r="B43" s="51" t="str">
        <f>VLOOKUP(C43,[1]Saldo!A42:B31315,2,0)</f>
        <v>#ERROR!</v>
      </c>
      <c r="C43" s="88" t="s">
        <v>1099</v>
      </c>
      <c r="D43" s="88" t="str">
        <f t="shared" si="3"/>
        <v>#REF!</v>
      </c>
      <c r="E43" s="137">
        <v>4.0</v>
      </c>
      <c r="F43" s="88">
        <v>4000.0</v>
      </c>
      <c r="G43" s="128">
        <f>'PAINEL DE CONTROLE'!$J$8</f>
        <v>6545</v>
      </c>
      <c r="H43" s="128">
        <v>0.0</v>
      </c>
      <c r="I43" s="128">
        <f t="shared" si="1"/>
        <v>4000</v>
      </c>
      <c r="J43" s="128">
        <f t="shared" si="2"/>
        <v>-2545</v>
      </c>
      <c r="K43" s="60"/>
      <c r="L43" s="31"/>
      <c r="M43" s="61"/>
      <c r="N43" s="60"/>
      <c r="O43" s="31"/>
      <c r="P43" s="61"/>
      <c r="Q43" s="60"/>
      <c r="R43" s="31"/>
      <c r="S43" s="61"/>
      <c r="T43" s="60"/>
      <c r="U43" s="31"/>
      <c r="V43" s="61"/>
      <c r="W43" s="60"/>
      <c r="X43" s="31"/>
      <c r="Y43" s="61"/>
      <c r="Z43" s="60"/>
      <c r="AA43" s="31"/>
      <c r="AB43" s="61"/>
      <c r="AC43" s="60"/>
      <c r="AD43" s="31"/>
      <c r="AE43" s="61"/>
      <c r="AF43" s="60"/>
      <c r="AG43" s="31"/>
      <c r="AH43" s="61"/>
      <c r="AI43" s="60"/>
      <c r="AJ43" s="31"/>
      <c r="AK43" s="61"/>
      <c r="AL43" s="60"/>
      <c r="AM43" s="31"/>
      <c r="AN43" s="61"/>
      <c r="AO43" s="60"/>
      <c r="AP43" s="31"/>
      <c r="AQ43" s="61"/>
    </row>
    <row r="44" ht="33.75" customHeight="1">
      <c r="A44" s="62"/>
      <c r="B44" s="51" t="str">
        <f>VLOOKUP(C44,[1]Saldo!A43:B31316,2,0)</f>
        <v>#ERROR!</v>
      </c>
      <c r="C44" s="88" t="s">
        <v>1100</v>
      </c>
      <c r="D44" s="88" t="str">
        <f t="shared" si="3"/>
        <v>#REF!</v>
      </c>
      <c r="E44" s="137">
        <v>4.0</v>
      </c>
      <c r="F44" s="88">
        <v>4000.0</v>
      </c>
      <c r="G44" s="128">
        <f>'PAINEL DE CONTROLE'!$J$8</f>
        <v>6545</v>
      </c>
      <c r="H44" s="128">
        <v>0.0</v>
      </c>
      <c r="I44" s="128">
        <f t="shared" si="1"/>
        <v>4000</v>
      </c>
      <c r="J44" s="128">
        <f t="shared" si="2"/>
        <v>-2545</v>
      </c>
      <c r="K44" s="60"/>
      <c r="L44" s="31"/>
      <c r="M44" s="61"/>
      <c r="N44" s="60"/>
      <c r="O44" s="31"/>
      <c r="P44" s="61"/>
      <c r="Q44" s="60"/>
      <c r="R44" s="31"/>
      <c r="S44" s="61"/>
      <c r="T44" s="60"/>
      <c r="U44" s="31"/>
      <c r="V44" s="61"/>
      <c r="W44" s="60"/>
      <c r="X44" s="31"/>
      <c r="Y44" s="61"/>
      <c r="Z44" s="60"/>
      <c r="AA44" s="31"/>
      <c r="AB44" s="61"/>
      <c r="AC44" s="60"/>
      <c r="AD44" s="31"/>
      <c r="AE44" s="61"/>
      <c r="AF44" s="60"/>
      <c r="AG44" s="31"/>
      <c r="AH44" s="61"/>
      <c r="AI44" s="60"/>
      <c r="AJ44" s="31"/>
      <c r="AK44" s="61"/>
      <c r="AL44" s="60"/>
      <c r="AM44" s="31"/>
      <c r="AN44" s="61"/>
      <c r="AO44" s="60"/>
      <c r="AP44" s="31"/>
      <c r="AQ44" s="61"/>
    </row>
    <row r="45" ht="33.75" customHeight="1">
      <c r="A45" s="62"/>
      <c r="B45" s="51" t="str">
        <f>VLOOKUP(C45,[1]Saldo!A44:B31317,2,0)</f>
        <v>#ERROR!</v>
      </c>
      <c r="C45" s="88" t="s">
        <v>1101</v>
      </c>
      <c r="D45" s="88" t="str">
        <f t="shared" si="3"/>
        <v>#REF!</v>
      </c>
      <c r="E45" s="137">
        <v>1.0</v>
      </c>
      <c r="F45" s="88">
        <v>4000.0</v>
      </c>
      <c r="G45" s="128">
        <f>'PAINEL DE CONTROLE'!$J$8</f>
        <v>6545</v>
      </c>
      <c r="H45" s="128">
        <v>0.0</v>
      </c>
      <c r="I45" s="128">
        <f t="shared" si="1"/>
        <v>4000</v>
      </c>
      <c r="J45" s="128">
        <f t="shared" si="2"/>
        <v>-2545</v>
      </c>
      <c r="K45" s="60"/>
      <c r="L45" s="31"/>
      <c r="M45" s="61"/>
      <c r="N45" s="60"/>
      <c r="O45" s="31"/>
      <c r="P45" s="61"/>
      <c r="Q45" s="60"/>
      <c r="R45" s="31"/>
      <c r="S45" s="61"/>
      <c r="T45" s="60"/>
      <c r="U45" s="31"/>
      <c r="V45" s="61"/>
      <c r="W45" s="60"/>
      <c r="X45" s="31"/>
      <c r="Y45" s="61"/>
      <c r="Z45" s="60"/>
      <c r="AA45" s="31"/>
      <c r="AB45" s="61"/>
      <c r="AC45" s="60"/>
      <c r="AD45" s="31"/>
      <c r="AE45" s="61"/>
      <c r="AF45" s="60"/>
      <c r="AG45" s="31"/>
      <c r="AH45" s="61"/>
      <c r="AI45" s="60"/>
      <c r="AJ45" s="31"/>
      <c r="AK45" s="61"/>
      <c r="AL45" s="60"/>
      <c r="AM45" s="31"/>
      <c r="AN45" s="61"/>
      <c r="AO45" s="60"/>
      <c r="AP45" s="31"/>
      <c r="AQ45" s="61"/>
    </row>
    <row r="46" ht="33.75" customHeight="1">
      <c r="A46" s="62"/>
      <c r="B46" s="51" t="str">
        <f>VLOOKUP(C46,[1]Saldo!A45:B31318,2,0)</f>
        <v>#ERROR!</v>
      </c>
      <c r="C46" s="88" t="s">
        <v>1102</v>
      </c>
      <c r="D46" s="88" t="str">
        <f t="shared" si="3"/>
        <v>#REF!</v>
      </c>
      <c r="E46" s="137">
        <v>4.0</v>
      </c>
      <c r="F46" s="88">
        <v>4000.0</v>
      </c>
      <c r="G46" s="128">
        <f>'PAINEL DE CONTROLE'!$J$8</f>
        <v>6545</v>
      </c>
      <c r="H46" s="128">
        <v>0.0</v>
      </c>
      <c r="I46" s="128">
        <f t="shared" si="1"/>
        <v>4000</v>
      </c>
      <c r="J46" s="128">
        <f t="shared" si="2"/>
        <v>-2545</v>
      </c>
      <c r="K46" s="60"/>
      <c r="L46" s="31"/>
      <c r="M46" s="61"/>
      <c r="N46" s="60"/>
      <c r="O46" s="31"/>
      <c r="P46" s="61"/>
      <c r="Q46" s="60"/>
      <c r="R46" s="31"/>
      <c r="S46" s="61"/>
      <c r="T46" s="60"/>
      <c r="U46" s="31"/>
      <c r="V46" s="61"/>
      <c r="W46" s="60"/>
      <c r="X46" s="31"/>
      <c r="Y46" s="61"/>
      <c r="Z46" s="60"/>
      <c r="AA46" s="31"/>
      <c r="AB46" s="61"/>
      <c r="AC46" s="60"/>
      <c r="AD46" s="31"/>
      <c r="AE46" s="61"/>
      <c r="AF46" s="60"/>
      <c r="AG46" s="31"/>
      <c r="AH46" s="61"/>
      <c r="AI46" s="60"/>
      <c r="AJ46" s="31"/>
      <c r="AK46" s="61"/>
      <c r="AL46" s="60"/>
      <c r="AM46" s="31"/>
      <c r="AN46" s="61"/>
      <c r="AO46" s="60"/>
      <c r="AP46" s="31"/>
      <c r="AQ46" s="61"/>
    </row>
    <row r="47" ht="33.75" customHeight="1">
      <c r="A47" s="62"/>
      <c r="B47" s="51" t="str">
        <f>VLOOKUP(C47,[1]Saldo!A46:B31319,2,0)</f>
        <v>#ERROR!</v>
      </c>
      <c r="C47" s="88" t="s">
        <v>1059</v>
      </c>
      <c r="D47" s="88" t="str">
        <f t="shared" si="3"/>
        <v>#REF!</v>
      </c>
      <c r="E47" s="137">
        <v>12.0</v>
      </c>
      <c r="F47" s="88">
        <v>4000.0</v>
      </c>
      <c r="G47" s="128">
        <f>'PAINEL DE CONTROLE'!$J$8</f>
        <v>6545</v>
      </c>
      <c r="H47" s="128">
        <v>0.0</v>
      </c>
      <c r="I47" s="128">
        <f t="shared" si="1"/>
        <v>4000</v>
      </c>
      <c r="J47" s="128">
        <f t="shared" si="2"/>
        <v>-2545</v>
      </c>
      <c r="K47" s="60"/>
      <c r="L47" s="31"/>
      <c r="M47" s="61"/>
      <c r="N47" s="60"/>
      <c r="O47" s="31"/>
      <c r="P47" s="61"/>
      <c r="Q47" s="60"/>
      <c r="R47" s="31"/>
      <c r="S47" s="61"/>
      <c r="T47" s="60"/>
      <c r="U47" s="31"/>
      <c r="V47" s="61"/>
      <c r="W47" s="60"/>
      <c r="X47" s="31"/>
      <c r="Y47" s="61"/>
      <c r="Z47" s="60"/>
      <c r="AA47" s="31"/>
      <c r="AB47" s="61"/>
      <c r="AC47" s="60"/>
      <c r="AD47" s="31"/>
      <c r="AE47" s="61"/>
      <c r="AF47" s="60"/>
      <c r="AG47" s="31"/>
      <c r="AH47" s="61"/>
      <c r="AI47" s="60"/>
      <c r="AJ47" s="31"/>
      <c r="AK47" s="61"/>
      <c r="AL47" s="60"/>
      <c r="AM47" s="31"/>
      <c r="AN47" s="61"/>
      <c r="AO47" s="60"/>
      <c r="AP47" s="31"/>
      <c r="AQ47" s="61"/>
    </row>
    <row r="48" ht="33.75" customHeight="1">
      <c r="A48" s="62"/>
      <c r="B48" s="51" t="str">
        <f>VLOOKUP(C48,[1]Saldo!A47:B31320,2,0)</f>
        <v>#ERROR!</v>
      </c>
      <c r="C48" s="88" t="s">
        <v>1103</v>
      </c>
      <c r="D48" s="88" t="str">
        <f t="shared" si="3"/>
        <v>#REF!</v>
      </c>
      <c r="E48" s="137">
        <v>1.0</v>
      </c>
      <c r="F48" s="88">
        <v>4000.0</v>
      </c>
      <c r="G48" s="128">
        <f>'PAINEL DE CONTROLE'!$J$8</f>
        <v>6545</v>
      </c>
      <c r="H48" s="128">
        <v>0.0</v>
      </c>
      <c r="I48" s="128">
        <f t="shared" si="1"/>
        <v>4000</v>
      </c>
      <c r="J48" s="128">
        <f t="shared" si="2"/>
        <v>-2545</v>
      </c>
      <c r="K48" s="60"/>
      <c r="L48" s="31"/>
      <c r="M48" s="61"/>
      <c r="N48" s="60"/>
      <c r="O48" s="31"/>
      <c r="P48" s="61"/>
      <c r="Q48" s="60"/>
      <c r="R48" s="31"/>
      <c r="S48" s="61"/>
      <c r="T48" s="60"/>
      <c r="U48" s="31"/>
      <c r="V48" s="61"/>
      <c r="W48" s="60"/>
      <c r="X48" s="31"/>
      <c r="Y48" s="61"/>
      <c r="Z48" s="60"/>
      <c r="AA48" s="31"/>
      <c r="AB48" s="61"/>
      <c r="AC48" s="60"/>
      <c r="AD48" s="31"/>
      <c r="AE48" s="61"/>
      <c r="AF48" s="60"/>
      <c r="AG48" s="31"/>
      <c r="AH48" s="61"/>
      <c r="AI48" s="60"/>
      <c r="AJ48" s="31"/>
      <c r="AK48" s="61"/>
      <c r="AL48" s="60"/>
      <c r="AM48" s="31"/>
      <c r="AN48" s="61"/>
      <c r="AO48" s="60"/>
      <c r="AP48" s="31"/>
      <c r="AQ48" s="61"/>
    </row>
    <row r="49" ht="33.75" customHeight="1">
      <c r="A49" s="63"/>
      <c r="B49" s="51" t="str">
        <f>VLOOKUP(C49,[1]Saldo!A48:B31321,2,0)</f>
        <v>#ERROR!</v>
      </c>
      <c r="C49" s="88" t="s">
        <v>1104</v>
      </c>
      <c r="D49" s="88" t="str">
        <f t="shared" si="3"/>
        <v>#REF!</v>
      </c>
      <c r="E49" s="137">
        <v>1.0</v>
      </c>
      <c r="F49" s="88">
        <v>4000.0</v>
      </c>
      <c r="G49" s="128">
        <f>'PAINEL DE CONTROLE'!$J$8</f>
        <v>6545</v>
      </c>
      <c r="H49" s="128">
        <v>0.0</v>
      </c>
      <c r="I49" s="128">
        <f t="shared" si="1"/>
        <v>4000</v>
      </c>
      <c r="J49" s="128">
        <f t="shared" si="2"/>
        <v>-2545</v>
      </c>
      <c r="K49" s="60"/>
      <c r="L49" s="31"/>
      <c r="M49" s="61"/>
      <c r="N49" s="60"/>
      <c r="O49" s="31"/>
      <c r="P49" s="61"/>
      <c r="Q49" s="60"/>
      <c r="R49" s="31"/>
      <c r="S49" s="61"/>
      <c r="T49" s="60"/>
      <c r="U49" s="31"/>
      <c r="V49" s="61"/>
      <c r="W49" s="60"/>
      <c r="X49" s="31"/>
      <c r="Y49" s="61"/>
      <c r="Z49" s="60"/>
      <c r="AA49" s="31"/>
      <c r="AB49" s="61"/>
      <c r="AC49" s="60"/>
      <c r="AD49" s="31"/>
      <c r="AE49" s="61"/>
      <c r="AF49" s="60"/>
      <c r="AG49" s="31"/>
      <c r="AH49" s="61"/>
      <c r="AI49" s="60"/>
      <c r="AJ49" s="31"/>
      <c r="AK49" s="61"/>
      <c r="AL49" s="60"/>
      <c r="AM49" s="31"/>
      <c r="AN49" s="61"/>
      <c r="AO49" s="60"/>
      <c r="AP49" s="31"/>
      <c r="AQ49" s="61"/>
    </row>
    <row r="50" ht="33.75" customHeight="1">
      <c r="A50" s="51" t="s">
        <v>1105</v>
      </c>
      <c r="B50" s="51" t="str">
        <f>VLOOKUP(C50,[1]Saldo!A49:B31322,2,0)</f>
        <v>#ERROR!</v>
      </c>
      <c r="C50" s="88" t="s">
        <v>1106</v>
      </c>
      <c r="D50" s="88" t="str">
        <f t="shared" si="3"/>
        <v>#REF!</v>
      </c>
      <c r="E50" s="137">
        <v>4.0</v>
      </c>
      <c r="F50" s="88">
        <v>4000.0</v>
      </c>
      <c r="G50" s="128">
        <f>'PAINEL DE CONTROLE'!$J$8</f>
        <v>6545</v>
      </c>
      <c r="H50" s="128">
        <v>0.0</v>
      </c>
      <c r="I50" s="128">
        <f t="shared" si="1"/>
        <v>4000</v>
      </c>
      <c r="J50" s="128">
        <f t="shared" si="2"/>
        <v>-2545</v>
      </c>
      <c r="K50" s="60"/>
      <c r="L50" s="31"/>
      <c r="M50" s="61"/>
      <c r="N50" s="60"/>
      <c r="O50" s="31"/>
      <c r="P50" s="61"/>
      <c r="Q50" s="60"/>
      <c r="R50" s="31"/>
      <c r="S50" s="61"/>
      <c r="T50" s="60"/>
      <c r="U50" s="31"/>
      <c r="V50" s="61"/>
      <c r="W50" s="60"/>
      <c r="X50" s="31"/>
      <c r="Y50" s="61"/>
      <c r="Z50" s="60"/>
      <c r="AA50" s="31"/>
      <c r="AB50" s="61"/>
      <c r="AC50" s="60"/>
      <c r="AD50" s="31"/>
      <c r="AE50" s="61"/>
      <c r="AF50" s="60"/>
      <c r="AG50" s="31"/>
      <c r="AH50" s="61"/>
      <c r="AI50" s="60"/>
      <c r="AJ50" s="31"/>
      <c r="AK50" s="61"/>
      <c r="AL50" s="60"/>
      <c r="AM50" s="31"/>
      <c r="AN50" s="61"/>
      <c r="AO50" s="60"/>
      <c r="AP50" s="31"/>
      <c r="AQ50" s="61"/>
    </row>
    <row r="51" ht="33.75" customHeight="1">
      <c r="A51" s="64" t="s">
        <v>1107</v>
      </c>
      <c r="B51" s="51" t="str">
        <f>VLOOKUP(C51,[1]Saldo!A50:B31323,2,0)</f>
        <v>#ERROR!</v>
      </c>
      <c r="C51" s="88" t="s">
        <v>1108</v>
      </c>
      <c r="D51" s="88" t="str">
        <f t="shared" si="3"/>
        <v>#REF!</v>
      </c>
      <c r="E51" s="137">
        <v>4.0</v>
      </c>
      <c r="F51" s="88">
        <v>3000.0</v>
      </c>
      <c r="G51" s="128">
        <f>'PAINEL DE CONTROLE'!$J$8</f>
        <v>6545</v>
      </c>
      <c r="H51" s="128">
        <v>0.0</v>
      </c>
      <c r="I51" s="128">
        <f t="shared" si="1"/>
        <v>3000</v>
      </c>
      <c r="J51" s="128">
        <f t="shared" si="2"/>
        <v>-3545</v>
      </c>
      <c r="K51" s="60"/>
      <c r="L51" s="31"/>
      <c r="M51" s="61"/>
      <c r="N51" s="60"/>
      <c r="O51" s="31"/>
      <c r="P51" s="61"/>
      <c r="Q51" s="60"/>
      <c r="R51" s="31"/>
      <c r="S51" s="61"/>
      <c r="T51" s="60"/>
      <c r="U51" s="31"/>
      <c r="V51" s="61"/>
      <c r="W51" s="60"/>
      <c r="X51" s="31"/>
      <c r="Y51" s="61"/>
      <c r="Z51" s="60"/>
      <c r="AA51" s="31"/>
      <c r="AB51" s="61"/>
      <c r="AC51" s="60"/>
      <c r="AD51" s="31"/>
      <c r="AE51" s="61"/>
      <c r="AF51" s="60"/>
      <c r="AG51" s="31"/>
      <c r="AH51" s="61"/>
      <c r="AI51" s="60"/>
      <c r="AJ51" s="31"/>
      <c r="AK51" s="61"/>
      <c r="AL51" s="60"/>
      <c r="AM51" s="31"/>
      <c r="AN51" s="61"/>
      <c r="AO51" s="60"/>
      <c r="AP51" s="31"/>
      <c r="AQ51" s="61"/>
    </row>
    <row r="52" ht="33.75" customHeight="1">
      <c r="A52" s="62"/>
      <c r="B52" s="51" t="str">
        <f>VLOOKUP(C52,[1]Saldo!A51:B31324,2,0)</f>
        <v>#ERROR!</v>
      </c>
      <c r="C52" s="88" t="s">
        <v>1109</v>
      </c>
      <c r="D52" s="88" t="str">
        <f t="shared" si="3"/>
        <v>#REF!</v>
      </c>
      <c r="E52" s="137">
        <v>8.0</v>
      </c>
      <c r="F52" s="88">
        <v>3000.0</v>
      </c>
      <c r="G52" s="128">
        <f>'PAINEL DE CONTROLE'!$J$8</f>
        <v>6545</v>
      </c>
      <c r="H52" s="128">
        <v>0.0</v>
      </c>
      <c r="I52" s="128">
        <f t="shared" si="1"/>
        <v>3000</v>
      </c>
      <c r="J52" s="128">
        <f t="shared" si="2"/>
        <v>-3545</v>
      </c>
      <c r="K52" s="60"/>
      <c r="L52" s="31"/>
      <c r="M52" s="61"/>
      <c r="N52" s="60"/>
      <c r="O52" s="31"/>
      <c r="P52" s="61"/>
      <c r="Q52" s="60"/>
      <c r="R52" s="31"/>
      <c r="S52" s="61"/>
      <c r="T52" s="60"/>
      <c r="U52" s="31"/>
      <c r="V52" s="61"/>
      <c r="W52" s="60"/>
      <c r="X52" s="31"/>
      <c r="Y52" s="61"/>
      <c r="Z52" s="60"/>
      <c r="AA52" s="31"/>
      <c r="AB52" s="61"/>
      <c r="AC52" s="60"/>
      <c r="AD52" s="31"/>
      <c r="AE52" s="61"/>
      <c r="AF52" s="60"/>
      <c r="AG52" s="31"/>
      <c r="AH52" s="61"/>
      <c r="AI52" s="60"/>
      <c r="AJ52" s="31"/>
      <c r="AK52" s="61"/>
      <c r="AL52" s="60"/>
      <c r="AM52" s="31"/>
      <c r="AN52" s="61"/>
      <c r="AO52" s="60"/>
      <c r="AP52" s="31"/>
      <c r="AQ52" s="61"/>
    </row>
    <row r="53" ht="33.75" customHeight="1">
      <c r="A53" s="63"/>
      <c r="B53" s="51" t="str">
        <f>VLOOKUP(C53,[1]Saldo!A52:B31325,2,0)</f>
        <v>#ERROR!</v>
      </c>
      <c r="C53" s="88" t="s">
        <v>1082</v>
      </c>
      <c r="D53" s="88" t="str">
        <f t="shared" si="3"/>
        <v>#REF!</v>
      </c>
      <c r="E53" s="137">
        <v>2.0</v>
      </c>
      <c r="F53" s="88">
        <v>3000.0</v>
      </c>
      <c r="G53" s="128">
        <f>'PAINEL DE CONTROLE'!$J$8</f>
        <v>6545</v>
      </c>
      <c r="H53" s="128">
        <v>0.0</v>
      </c>
      <c r="I53" s="128">
        <f t="shared" si="1"/>
        <v>3000</v>
      </c>
      <c r="J53" s="128">
        <f t="shared" si="2"/>
        <v>-3545</v>
      </c>
      <c r="K53" s="60"/>
      <c r="L53" s="31"/>
      <c r="M53" s="61"/>
      <c r="N53" s="60"/>
      <c r="O53" s="31"/>
      <c r="P53" s="61"/>
      <c r="Q53" s="60"/>
      <c r="R53" s="31"/>
      <c r="S53" s="61"/>
      <c r="T53" s="60"/>
      <c r="U53" s="31"/>
      <c r="V53" s="61"/>
      <c r="W53" s="60"/>
      <c r="X53" s="31"/>
      <c r="Y53" s="61"/>
      <c r="Z53" s="60"/>
      <c r="AA53" s="31"/>
      <c r="AB53" s="61"/>
      <c r="AC53" s="60"/>
      <c r="AD53" s="31"/>
      <c r="AE53" s="61"/>
      <c r="AF53" s="60"/>
      <c r="AG53" s="31"/>
      <c r="AH53" s="61"/>
      <c r="AI53" s="60"/>
      <c r="AJ53" s="31"/>
      <c r="AK53" s="61"/>
      <c r="AL53" s="60"/>
      <c r="AM53" s="31"/>
      <c r="AN53" s="61"/>
      <c r="AO53" s="60"/>
      <c r="AP53" s="31"/>
      <c r="AQ53" s="61"/>
    </row>
    <row r="54" ht="33.75" customHeight="1">
      <c r="A54" s="64" t="s">
        <v>1110</v>
      </c>
      <c r="B54" s="51" t="str">
        <f>VLOOKUP(C54,[1]Saldo!A53:B31326,2,0)</f>
        <v>#ERROR!</v>
      </c>
      <c r="C54" s="88" t="s">
        <v>1111</v>
      </c>
      <c r="D54" s="88" t="str">
        <f t="shared" si="3"/>
        <v>#REF!</v>
      </c>
      <c r="E54" s="137">
        <v>2.0</v>
      </c>
      <c r="F54" s="88">
        <v>3000.0</v>
      </c>
      <c r="G54" s="128">
        <f>'PAINEL DE CONTROLE'!$J$8</f>
        <v>6545</v>
      </c>
      <c r="H54" s="128">
        <v>0.0</v>
      </c>
      <c r="I54" s="128">
        <f t="shared" si="1"/>
        <v>3000</v>
      </c>
      <c r="J54" s="128">
        <f t="shared" si="2"/>
        <v>-3545</v>
      </c>
      <c r="K54" s="60"/>
      <c r="L54" s="31"/>
      <c r="M54" s="61"/>
      <c r="N54" s="60"/>
      <c r="O54" s="31"/>
      <c r="P54" s="61"/>
      <c r="Q54" s="60"/>
      <c r="R54" s="31"/>
      <c r="S54" s="61"/>
      <c r="T54" s="60"/>
      <c r="U54" s="31"/>
      <c r="V54" s="61"/>
      <c r="W54" s="60"/>
      <c r="X54" s="31"/>
      <c r="Y54" s="61"/>
      <c r="Z54" s="60"/>
      <c r="AA54" s="31"/>
      <c r="AB54" s="61"/>
      <c r="AC54" s="60"/>
      <c r="AD54" s="31"/>
      <c r="AE54" s="61"/>
      <c r="AF54" s="60"/>
      <c r="AG54" s="31"/>
      <c r="AH54" s="61"/>
      <c r="AI54" s="60"/>
      <c r="AJ54" s="31"/>
      <c r="AK54" s="61"/>
      <c r="AL54" s="60"/>
      <c r="AM54" s="31"/>
      <c r="AN54" s="61"/>
      <c r="AO54" s="60"/>
      <c r="AP54" s="31"/>
      <c r="AQ54" s="61"/>
    </row>
    <row r="55" ht="33.75" customHeight="1">
      <c r="A55" s="63"/>
      <c r="B55" s="51" t="str">
        <f>VLOOKUP(C55,[1]Saldo!A54:B31327,2,0)</f>
        <v>#ERROR!</v>
      </c>
      <c r="C55" s="88" t="s">
        <v>1112</v>
      </c>
      <c r="D55" s="88" t="str">
        <f t="shared" si="3"/>
        <v>#REF!</v>
      </c>
      <c r="E55" s="137">
        <v>2.0</v>
      </c>
      <c r="F55" s="88">
        <v>3000.0</v>
      </c>
      <c r="G55" s="128">
        <f>'PAINEL DE CONTROLE'!$J$8</f>
        <v>6545</v>
      </c>
      <c r="H55" s="128">
        <v>0.0</v>
      </c>
      <c r="I55" s="128">
        <f t="shared" si="1"/>
        <v>3000</v>
      </c>
      <c r="J55" s="128">
        <f t="shared" si="2"/>
        <v>-3545</v>
      </c>
      <c r="K55" s="60"/>
      <c r="L55" s="31"/>
      <c r="M55" s="61"/>
      <c r="N55" s="60"/>
      <c r="O55" s="31"/>
      <c r="P55" s="61"/>
      <c r="Q55" s="60"/>
      <c r="R55" s="31"/>
      <c r="S55" s="61"/>
      <c r="T55" s="60"/>
      <c r="U55" s="31"/>
      <c r="V55" s="61"/>
      <c r="W55" s="60"/>
      <c r="X55" s="31"/>
      <c r="Y55" s="61"/>
      <c r="Z55" s="60"/>
      <c r="AA55" s="31"/>
      <c r="AB55" s="61"/>
      <c r="AC55" s="60"/>
      <c r="AD55" s="31"/>
      <c r="AE55" s="61"/>
      <c r="AF55" s="60"/>
      <c r="AG55" s="31"/>
      <c r="AH55" s="61"/>
      <c r="AI55" s="60"/>
      <c r="AJ55" s="31"/>
      <c r="AK55" s="61"/>
      <c r="AL55" s="60"/>
      <c r="AM55" s="31"/>
      <c r="AN55" s="61"/>
      <c r="AO55" s="60"/>
      <c r="AP55" s="31"/>
      <c r="AQ55" s="61"/>
    </row>
    <row r="56" ht="33.75" customHeight="1">
      <c r="A56" s="51" t="s">
        <v>1113</v>
      </c>
      <c r="B56" s="51" t="str">
        <f>VLOOKUP(C56,[1]Saldo!A55:B31328,2,0)</f>
        <v>#ERROR!</v>
      </c>
      <c r="C56" s="88" t="s">
        <v>1114</v>
      </c>
      <c r="D56" s="88" t="str">
        <f t="shared" si="3"/>
        <v>#REF!</v>
      </c>
      <c r="E56" s="137">
        <v>2.0</v>
      </c>
      <c r="F56" s="88">
        <v>3000.0</v>
      </c>
      <c r="G56" s="128">
        <f>'PAINEL DE CONTROLE'!$J$8</f>
        <v>6545</v>
      </c>
      <c r="H56" s="128">
        <v>0.0</v>
      </c>
      <c r="I56" s="128">
        <f t="shared" si="1"/>
        <v>3000</v>
      </c>
      <c r="J56" s="128">
        <f t="shared" si="2"/>
        <v>-3545</v>
      </c>
      <c r="K56" s="60"/>
      <c r="L56" s="31"/>
      <c r="M56" s="61"/>
      <c r="N56" s="60"/>
      <c r="O56" s="31"/>
      <c r="P56" s="61"/>
      <c r="Q56" s="60"/>
      <c r="R56" s="31"/>
      <c r="S56" s="61"/>
      <c r="T56" s="60"/>
      <c r="U56" s="31"/>
      <c r="V56" s="61"/>
      <c r="W56" s="60"/>
      <c r="X56" s="31"/>
      <c r="Y56" s="61"/>
      <c r="Z56" s="60"/>
      <c r="AA56" s="31"/>
      <c r="AB56" s="61"/>
      <c r="AC56" s="60"/>
      <c r="AD56" s="31"/>
      <c r="AE56" s="61"/>
      <c r="AF56" s="60"/>
      <c r="AG56" s="31"/>
      <c r="AH56" s="61"/>
      <c r="AI56" s="60"/>
      <c r="AJ56" s="31"/>
      <c r="AK56" s="61"/>
      <c r="AL56" s="60"/>
      <c r="AM56" s="31"/>
      <c r="AN56" s="61"/>
      <c r="AO56" s="60"/>
      <c r="AP56" s="31"/>
      <c r="AQ56" s="61"/>
    </row>
    <row r="57" ht="33.75" customHeight="1">
      <c r="A57" s="64" t="s">
        <v>1115</v>
      </c>
      <c r="B57" s="50" t="str">
        <f>VLOOKUP(C57,[1]Saldo!A56:B31329,2,0)</f>
        <v>#ERROR!</v>
      </c>
      <c r="C57" s="180" t="s">
        <v>1116</v>
      </c>
      <c r="D57" s="180" t="str">
        <f t="shared" si="3"/>
        <v>#REF!</v>
      </c>
      <c r="E57" s="181">
        <v>4.0</v>
      </c>
      <c r="F57" s="180">
        <v>2000.0</v>
      </c>
      <c r="G57" s="128">
        <f>'PAINEL DE CONTROLE'!$J$8</f>
        <v>6545</v>
      </c>
      <c r="H57" s="128">
        <v>0.0</v>
      </c>
      <c r="I57" s="128">
        <f t="shared" si="1"/>
        <v>2000</v>
      </c>
      <c r="J57" s="128">
        <f t="shared" si="2"/>
        <v>-4545</v>
      </c>
      <c r="K57" s="60"/>
      <c r="L57" s="31"/>
      <c r="M57" s="61"/>
      <c r="N57" s="60"/>
      <c r="O57" s="31"/>
      <c r="P57" s="61"/>
      <c r="Q57" s="60"/>
      <c r="R57" s="31"/>
      <c r="S57" s="61"/>
      <c r="T57" s="60"/>
      <c r="U57" s="31"/>
      <c r="V57" s="61"/>
      <c r="W57" s="60"/>
      <c r="X57" s="31"/>
      <c r="Y57" s="61"/>
      <c r="Z57" s="60"/>
      <c r="AA57" s="31"/>
      <c r="AB57" s="61"/>
      <c r="AC57" s="60"/>
      <c r="AD57" s="31"/>
      <c r="AE57" s="61"/>
      <c r="AF57" s="60"/>
      <c r="AG57" s="31"/>
      <c r="AH57" s="61"/>
      <c r="AI57" s="60"/>
      <c r="AJ57" s="31"/>
      <c r="AK57" s="61"/>
      <c r="AL57" s="60"/>
      <c r="AM57" s="31"/>
      <c r="AN57" s="61"/>
      <c r="AO57" s="60"/>
      <c r="AP57" s="31"/>
      <c r="AQ57" s="61"/>
    </row>
    <row r="58" ht="33.75" customHeight="1">
      <c r="A58" s="63"/>
      <c r="B58" s="50" t="str">
        <f>VLOOKUP(C58,[1]Saldo!A57:B31330,2,0)</f>
        <v>#ERROR!</v>
      </c>
      <c r="C58" s="180" t="s">
        <v>1117</v>
      </c>
      <c r="D58" s="180" t="str">
        <f t="shared" si="3"/>
        <v>#REF!</v>
      </c>
      <c r="E58" s="181">
        <v>2.0</v>
      </c>
      <c r="F58" s="180">
        <v>2000.0</v>
      </c>
      <c r="G58" s="128">
        <f>'PAINEL DE CONTROLE'!$J$8</f>
        <v>6545</v>
      </c>
      <c r="H58" s="128">
        <v>0.0</v>
      </c>
      <c r="I58" s="128">
        <f t="shared" si="1"/>
        <v>2000</v>
      </c>
      <c r="J58" s="128">
        <f t="shared" si="2"/>
        <v>-4545</v>
      </c>
      <c r="K58" s="60"/>
      <c r="L58" s="31"/>
      <c r="M58" s="61"/>
      <c r="N58" s="60"/>
      <c r="O58" s="31"/>
      <c r="P58" s="61"/>
      <c r="Q58" s="60"/>
      <c r="R58" s="31"/>
      <c r="S58" s="61"/>
      <c r="T58" s="60"/>
      <c r="U58" s="31"/>
      <c r="V58" s="61"/>
      <c r="W58" s="60"/>
      <c r="X58" s="31"/>
      <c r="Y58" s="61"/>
      <c r="Z58" s="60"/>
      <c r="AA58" s="31"/>
      <c r="AB58" s="61"/>
      <c r="AC58" s="60"/>
      <c r="AD58" s="31"/>
      <c r="AE58" s="61"/>
      <c r="AF58" s="60"/>
      <c r="AG58" s="31"/>
      <c r="AH58" s="61"/>
      <c r="AI58" s="60"/>
      <c r="AJ58" s="31"/>
      <c r="AK58" s="61"/>
      <c r="AL58" s="60"/>
      <c r="AM58" s="31"/>
      <c r="AN58" s="61"/>
      <c r="AO58" s="60"/>
      <c r="AP58" s="31"/>
      <c r="AQ58" s="61"/>
    </row>
    <row r="59" ht="33.75" customHeight="1">
      <c r="A59" s="64" t="s">
        <v>1118</v>
      </c>
      <c r="B59" s="50" t="str">
        <f>VLOOKUP(C59,[1]Saldo!A58:B31331,2,0)</f>
        <v>#ERROR!</v>
      </c>
      <c r="C59" s="180" t="s">
        <v>1074</v>
      </c>
      <c r="D59" s="180" t="str">
        <f t="shared" si="3"/>
        <v>#REF!</v>
      </c>
      <c r="E59" s="181">
        <v>3.0</v>
      </c>
      <c r="F59" s="180">
        <v>5000.0</v>
      </c>
      <c r="G59" s="128">
        <f>'PAINEL DE CONTROLE'!$J$8</f>
        <v>6545</v>
      </c>
      <c r="H59" s="128">
        <v>0.0</v>
      </c>
      <c r="I59" s="128">
        <f t="shared" si="1"/>
        <v>5000</v>
      </c>
      <c r="J59" s="128">
        <f t="shared" si="2"/>
        <v>-1545</v>
      </c>
      <c r="K59" s="60"/>
      <c r="L59" s="31"/>
      <c r="M59" s="61"/>
      <c r="N59" s="60"/>
      <c r="O59" s="31"/>
      <c r="P59" s="61"/>
      <c r="Q59" s="60"/>
      <c r="R59" s="31"/>
      <c r="S59" s="61"/>
      <c r="T59" s="60"/>
      <c r="U59" s="31"/>
      <c r="V59" s="61"/>
      <c r="W59" s="60"/>
      <c r="X59" s="31"/>
      <c r="Y59" s="61"/>
      <c r="Z59" s="60"/>
      <c r="AA59" s="31"/>
      <c r="AB59" s="61"/>
      <c r="AC59" s="60"/>
      <c r="AD59" s="31"/>
      <c r="AE59" s="61"/>
      <c r="AF59" s="60"/>
      <c r="AG59" s="31"/>
      <c r="AH59" s="61"/>
      <c r="AI59" s="60"/>
      <c r="AJ59" s="31"/>
      <c r="AK59" s="61"/>
      <c r="AL59" s="60"/>
      <c r="AM59" s="31"/>
      <c r="AN59" s="61"/>
      <c r="AO59" s="60"/>
      <c r="AP59" s="31"/>
      <c r="AQ59" s="61"/>
    </row>
    <row r="60" ht="33.75" customHeight="1">
      <c r="A60" s="62"/>
      <c r="B60" s="51" t="str">
        <f>VLOOKUP(C60,[1]Saldo!A59:B31332,2,0)</f>
        <v>#ERROR!</v>
      </c>
      <c r="C60" s="88" t="s">
        <v>1059</v>
      </c>
      <c r="D60" s="88" t="str">
        <f t="shared" si="3"/>
        <v>#REF!</v>
      </c>
      <c r="E60" s="137">
        <v>4.0</v>
      </c>
      <c r="F60" s="180">
        <v>5000.0</v>
      </c>
      <c r="G60" s="128">
        <f>'PAINEL DE CONTROLE'!$J$8</f>
        <v>6545</v>
      </c>
      <c r="H60" s="128">
        <v>0.0</v>
      </c>
      <c r="I60" s="128">
        <f t="shared" si="1"/>
        <v>5000</v>
      </c>
      <c r="J60" s="128">
        <f t="shared" si="2"/>
        <v>-1545</v>
      </c>
      <c r="K60" s="60"/>
      <c r="L60" s="31"/>
      <c r="M60" s="61"/>
      <c r="N60" s="60"/>
      <c r="O60" s="31"/>
      <c r="P60" s="61"/>
      <c r="Q60" s="60"/>
      <c r="R60" s="31"/>
      <c r="S60" s="61"/>
      <c r="T60" s="60"/>
      <c r="U60" s="31"/>
      <c r="V60" s="61"/>
      <c r="W60" s="60"/>
      <c r="X60" s="31"/>
      <c r="Y60" s="61"/>
      <c r="Z60" s="60"/>
      <c r="AA60" s="31"/>
      <c r="AB60" s="61"/>
      <c r="AC60" s="60"/>
      <c r="AD60" s="31"/>
      <c r="AE60" s="61"/>
      <c r="AF60" s="60"/>
      <c r="AG60" s="31"/>
      <c r="AH60" s="61"/>
      <c r="AI60" s="60"/>
      <c r="AJ60" s="31"/>
      <c r="AK60" s="61"/>
      <c r="AL60" s="60"/>
      <c r="AM60" s="31"/>
      <c r="AN60" s="61"/>
      <c r="AO60" s="60"/>
      <c r="AP60" s="31"/>
      <c r="AQ60" s="61"/>
    </row>
    <row r="61" ht="33.75" customHeight="1">
      <c r="A61" s="62"/>
      <c r="B61" s="51" t="str">
        <f>VLOOKUP(C61,[1]Saldo!A60:B31333,2,0)</f>
        <v>#ERROR!</v>
      </c>
      <c r="C61" s="88" t="s">
        <v>1119</v>
      </c>
      <c r="D61" s="88" t="str">
        <f t="shared" si="3"/>
        <v>#REF!</v>
      </c>
      <c r="E61" s="137">
        <v>1.0</v>
      </c>
      <c r="F61" s="180">
        <v>5000.0</v>
      </c>
      <c r="G61" s="128">
        <f>'PAINEL DE CONTROLE'!$J$8</f>
        <v>6545</v>
      </c>
      <c r="H61" s="128">
        <v>0.0</v>
      </c>
      <c r="I61" s="128">
        <f t="shared" si="1"/>
        <v>5000</v>
      </c>
      <c r="J61" s="128">
        <f t="shared" si="2"/>
        <v>-1545</v>
      </c>
      <c r="K61" s="60"/>
      <c r="L61" s="31"/>
      <c r="M61" s="61"/>
      <c r="N61" s="60"/>
      <c r="O61" s="31"/>
      <c r="P61" s="61"/>
      <c r="Q61" s="60"/>
      <c r="R61" s="31"/>
      <c r="S61" s="61"/>
      <c r="T61" s="60"/>
      <c r="U61" s="31"/>
      <c r="V61" s="61"/>
      <c r="W61" s="60"/>
      <c r="X61" s="31"/>
      <c r="Y61" s="61"/>
      <c r="Z61" s="60"/>
      <c r="AA61" s="31"/>
      <c r="AB61" s="61"/>
      <c r="AC61" s="60"/>
      <c r="AD61" s="31"/>
      <c r="AE61" s="61"/>
      <c r="AF61" s="60"/>
      <c r="AG61" s="31"/>
      <c r="AH61" s="61"/>
      <c r="AI61" s="60"/>
      <c r="AJ61" s="31"/>
      <c r="AK61" s="61"/>
      <c r="AL61" s="60"/>
      <c r="AM61" s="31"/>
      <c r="AN61" s="61"/>
      <c r="AO61" s="60"/>
      <c r="AP61" s="31"/>
      <c r="AQ61" s="61"/>
    </row>
    <row r="62" ht="33.75" customHeight="1">
      <c r="A62" s="62"/>
      <c r="B62" s="51" t="str">
        <f>VLOOKUP(C62,[1]Saldo!A61:B31334,2,0)</f>
        <v>#ERROR!</v>
      </c>
      <c r="C62" s="88" t="s">
        <v>1120</v>
      </c>
      <c r="D62" s="88" t="str">
        <f t="shared" ref="D62:D71" si="4">'[1]PARAMETROS PREVENTIVA'!$C728</f>
        <v>#REF!</v>
      </c>
      <c r="E62" s="137">
        <v>1.0</v>
      </c>
      <c r="F62" s="180">
        <v>5000.0</v>
      </c>
      <c r="G62" s="128">
        <f>'PAINEL DE CONTROLE'!$J$8</f>
        <v>6545</v>
      </c>
      <c r="H62" s="128">
        <v>0.0</v>
      </c>
      <c r="I62" s="128">
        <f t="shared" si="1"/>
        <v>5000</v>
      </c>
      <c r="J62" s="128">
        <f t="shared" si="2"/>
        <v>-1545</v>
      </c>
      <c r="K62" s="60"/>
      <c r="L62" s="31"/>
      <c r="M62" s="61"/>
      <c r="N62" s="60"/>
      <c r="O62" s="31"/>
      <c r="P62" s="61"/>
      <c r="Q62" s="60"/>
      <c r="R62" s="31"/>
      <c r="S62" s="61"/>
      <c r="T62" s="60"/>
      <c r="U62" s="31"/>
      <c r="V62" s="61"/>
      <c r="W62" s="60"/>
      <c r="X62" s="31"/>
      <c r="Y62" s="61"/>
      <c r="Z62" s="60"/>
      <c r="AA62" s="31"/>
      <c r="AB62" s="61"/>
      <c r="AC62" s="60"/>
      <c r="AD62" s="31"/>
      <c r="AE62" s="61"/>
      <c r="AF62" s="60"/>
      <c r="AG62" s="31"/>
      <c r="AH62" s="61"/>
      <c r="AI62" s="60"/>
      <c r="AJ62" s="31"/>
      <c r="AK62" s="61"/>
      <c r="AL62" s="60"/>
      <c r="AM62" s="31"/>
      <c r="AN62" s="61"/>
      <c r="AO62" s="60"/>
      <c r="AP62" s="31"/>
      <c r="AQ62" s="61"/>
    </row>
    <row r="63" ht="33.75" customHeight="1">
      <c r="A63" s="63"/>
      <c r="B63" s="51" t="str">
        <f>VLOOKUP(C63,[1]Saldo!A62:B31335,2,0)</f>
        <v>#ERROR!</v>
      </c>
      <c r="C63" s="88" t="s">
        <v>1121</v>
      </c>
      <c r="D63" s="88" t="str">
        <f t="shared" si="4"/>
        <v>#REF!</v>
      </c>
      <c r="E63" s="137">
        <v>2.0</v>
      </c>
      <c r="F63" s="88">
        <v>10000.0</v>
      </c>
      <c r="G63" s="128">
        <f>'PAINEL DE CONTROLE'!$J$8</f>
        <v>6545</v>
      </c>
      <c r="H63" s="128">
        <v>0.0</v>
      </c>
      <c r="I63" s="128">
        <f t="shared" si="1"/>
        <v>10000</v>
      </c>
      <c r="J63" s="128">
        <f t="shared" si="2"/>
        <v>3455</v>
      </c>
      <c r="K63" s="60"/>
      <c r="L63" s="31"/>
      <c r="M63" s="61"/>
      <c r="N63" s="60"/>
      <c r="O63" s="31"/>
      <c r="P63" s="61"/>
      <c r="Q63" s="60"/>
      <c r="R63" s="31"/>
      <c r="S63" s="61"/>
      <c r="T63" s="60"/>
      <c r="U63" s="31"/>
      <c r="V63" s="61"/>
      <c r="W63" s="60"/>
      <c r="X63" s="31"/>
      <c r="Y63" s="61"/>
      <c r="Z63" s="60"/>
      <c r="AA63" s="31"/>
      <c r="AB63" s="61"/>
      <c r="AC63" s="60"/>
      <c r="AD63" s="31"/>
      <c r="AE63" s="61"/>
      <c r="AF63" s="60"/>
      <c r="AG63" s="31"/>
      <c r="AH63" s="61"/>
      <c r="AI63" s="60"/>
      <c r="AJ63" s="31"/>
      <c r="AK63" s="61"/>
      <c r="AL63" s="60"/>
      <c r="AM63" s="31"/>
      <c r="AN63" s="61"/>
      <c r="AO63" s="60"/>
      <c r="AP63" s="31"/>
      <c r="AQ63" s="61"/>
    </row>
    <row r="64" ht="52.5" customHeight="1">
      <c r="A64" s="51" t="s">
        <v>1122</v>
      </c>
      <c r="B64" s="51" t="str">
        <f>VLOOKUP(C64,[1]Saldo!A63:B31336,2,0)</f>
        <v>#ERROR!</v>
      </c>
      <c r="C64" s="88" t="s">
        <v>1123</v>
      </c>
      <c r="D64" s="88" t="str">
        <f t="shared" si="4"/>
        <v>#REF!</v>
      </c>
      <c r="E64" s="137">
        <v>8.0</v>
      </c>
      <c r="F64" s="88">
        <v>4000.0</v>
      </c>
      <c r="G64" s="128">
        <f>'PAINEL DE CONTROLE'!$J$8</f>
        <v>6545</v>
      </c>
      <c r="H64" s="128">
        <v>0.0</v>
      </c>
      <c r="I64" s="128">
        <f t="shared" si="1"/>
        <v>4000</v>
      </c>
      <c r="J64" s="128">
        <f t="shared" si="2"/>
        <v>-2545</v>
      </c>
      <c r="K64" s="60"/>
      <c r="L64" s="31"/>
      <c r="M64" s="61"/>
      <c r="N64" s="60"/>
      <c r="O64" s="31"/>
      <c r="P64" s="61"/>
      <c r="Q64" s="60"/>
      <c r="R64" s="31"/>
      <c r="S64" s="61"/>
      <c r="T64" s="60"/>
      <c r="U64" s="31"/>
      <c r="V64" s="61"/>
      <c r="W64" s="60"/>
      <c r="X64" s="31"/>
      <c r="Y64" s="61"/>
      <c r="Z64" s="60"/>
      <c r="AA64" s="31"/>
      <c r="AB64" s="61"/>
      <c r="AC64" s="60"/>
      <c r="AD64" s="31"/>
      <c r="AE64" s="61"/>
      <c r="AF64" s="60"/>
      <c r="AG64" s="31"/>
      <c r="AH64" s="61"/>
      <c r="AI64" s="60"/>
      <c r="AJ64" s="31"/>
      <c r="AK64" s="61"/>
      <c r="AL64" s="60"/>
      <c r="AM64" s="31"/>
      <c r="AN64" s="61"/>
      <c r="AO64" s="60"/>
      <c r="AP64" s="31"/>
      <c r="AQ64" s="61"/>
    </row>
    <row r="65" ht="33.75" customHeight="1">
      <c r="A65" s="64" t="s">
        <v>95</v>
      </c>
      <c r="B65" s="51" t="str">
        <f>VLOOKUP(C65,[1]Saldo!A64:B31337,2,0)</f>
        <v>#ERROR!</v>
      </c>
      <c r="C65" s="88" t="s">
        <v>1124</v>
      </c>
      <c r="D65" s="88" t="str">
        <f t="shared" si="4"/>
        <v>#REF!</v>
      </c>
      <c r="E65" s="137">
        <v>7.0</v>
      </c>
      <c r="F65" s="88">
        <v>6000.0</v>
      </c>
      <c r="G65" s="128">
        <f>'PAINEL DE CONTROLE'!$J$8</f>
        <v>6545</v>
      </c>
      <c r="H65" s="128">
        <v>0.0</v>
      </c>
      <c r="I65" s="128">
        <f t="shared" si="1"/>
        <v>6000</v>
      </c>
      <c r="J65" s="128">
        <f t="shared" si="2"/>
        <v>-545</v>
      </c>
      <c r="K65" s="60"/>
      <c r="L65" s="31"/>
      <c r="M65" s="61"/>
      <c r="N65" s="60"/>
      <c r="O65" s="31"/>
      <c r="P65" s="61"/>
      <c r="Q65" s="60"/>
      <c r="R65" s="31"/>
      <c r="S65" s="61"/>
      <c r="T65" s="60"/>
      <c r="U65" s="31"/>
      <c r="V65" s="61"/>
      <c r="W65" s="60"/>
      <c r="X65" s="31"/>
      <c r="Y65" s="61"/>
      <c r="Z65" s="60"/>
      <c r="AA65" s="31"/>
      <c r="AB65" s="61"/>
      <c r="AC65" s="60"/>
      <c r="AD65" s="31"/>
      <c r="AE65" s="61"/>
      <c r="AF65" s="60"/>
      <c r="AG65" s="31"/>
      <c r="AH65" s="61"/>
      <c r="AI65" s="60"/>
      <c r="AJ65" s="31"/>
      <c r="AK65" s="61"/>
      <c r="AL65" s="60"/>
      <c r="AM65" s="31"/>
      <c r="AN65" s="61"/>
      <c r="AO65" s="60"/>
      <c r="AP65" s="31"/>
      <c r="AQ65" s="61"/>
    </row>
    <row r="66" ht="33.75" customHeight="1">
      <c r="A66" s="62"/>
      <c r="B66" s="51" t="str">
        <f>VLOOKUP(C66,[1]Saldo!A65:B31338,2,0)</f>
        <v>#ERROR!</v>
      </c>
      <c r="C66" s="88" t="s">
        <v>1125</v>
      </c>
      <c r="D66" s="88" t="str">
        <f t="shared" si="4"/>
        <v>#REF!</v>
      </c>
      <c r="E66" s="137">
        <v>7.0</v>
      </c>
      <c r="F66" s="88">
        <v>6000.0</v>
      </c>
      <c r="G66" s="128">
        <f>'PAINEL DE CONTROLE'!$J$8</f>
        <v>6545</v>
      </c>
      <c r="H66" s="128">
        <v>0.0</v>
      </c>
      <c r="I66" s="128">
        <f t="shared" si="1"/>
        <v>6000</v>
      </c>
      <c r="J66" s="128">
        <f t="shared" si="2"/>
        <v>-545</v>
      </c>
      <c r="K66" s="60"/>
      <c r="L66" s="31"/>
      <c r="M66" s="61"/>
      <c r="N66" s="60"/>
      <c r="O66" s="31"/>
      <c r="P66" s="61"/>
      <c r="Q66" s="60"/>
      <c r="R66" s="31"/>
      <c r="S66" s="61"/>
      <c r="T66" s="60"/>
      <c r="U66" s="31"/>
      <c r="V66" s="61"/>
      <c r="W66" s="60"/>
      <c r="X66" s="31"/>
      <c r="Y66" s="61"/>
      <c r="Z66" s="60"/>
      <c r="AA66" s="31"/>
      <c r="AB66" s="61"/>
      <c r="AC66" s="60"/>
      <c r="AD66" s="31"/>
      <c r="AE66" s="61"/>
      <c r="AF66" s="60"/>
      <c r="AG66" s="31"/>
      <c r="AH66" s="61"/>
      <c r="AI66" s="60"/>
      <c r="AJ66" s="31"/>
      <c r="AK66" s="61"/>
      <c r="AL66" s="60"/>
      <c r="AM66" s="31"/>
      <c r="AN66" s="61"/>
      <c r="AO66" s="60"/>
      <c r="AP66" s="31"/>
      <c r="AQ66" s="61"/>
    </row>
    <row r="67" ht="33.75" customHeight="1">
      <c r="A67" s="62"/>
      <c r="B67" s="51" t="str">
        <f>VLOOKUP(C67,[1]Saldo!A66:B31339,2,0)</f>
        <v>#ERROR!</v>
      </c>
      <c r="C67" s="88" t="s">
        <v>1126</v>
      </c>
      <c r="D67" s="88" t="str">
        <f t="shared" si="4"/>
        <v>#REF!</v>
      </c>
      <c r="E67" s="137">
        <v>10.0</v>
      </c>
      <c r="F67" s="88">
        <v>6000.0</v>
      </c>
      <c r="G67" s="128">
        <f>'PAINEL DE CONTROLE'!$J$8</f>
        <v>6545</v>
      </c>
      <c r="H67" s="128">
        <v>0.0</v>
      </c>
      <c r="I67" s="128">
        <f t="shared" si="1"/>
        <v>6000</v>
      </c>
      <c r="J67" s="128">
        <f t="shared" si="2"/>
        <v>-545</v>
      </c>
      <c r="K67" s="60"/>
      <c r="L67" s="31"/>
      <c r="M67" s="61"/>
      <c r="N67" s="60"/>
      <c r="O67" s="31"/>
      <c r="P67" s="61"/>
      <c r="Q67" s="60"/>
      <c r="R67" s="31"/>
      <c r="S67" s="61"/>
      <c r="T67" s="60"/>
      <c r="U67" s="31"/>
      <c r="V67" s="61"/>
      <c r="W67" s="60"/>
      <c r="X67" s="31"/>
      <c r="Y67" s="61"/>
      <c r="Z67" s="60"/>
      <c r="AA67" s="31"/>
      <c r="AB67" s="61"/>
      <c r="AC67" s="60"/>
      <c r="AD67" s="31"/>
      <c r="AE67" s="61"/>
      <c r="AF67" s="60"/>
      <c r="AG67" s="31"/>
      <c r="AH67" s="61"/>
      <c r="AI67" s="60"/>
      <c r="AJ67" s="31"/>
      <c r="AK67" s="61"/>
      <c r="AL67" s="60"/>
      <c r="AM67" s="31"/>
      <c r="AN67" s="61"/>
      <c r="AO67" s="60"/>
      <c r="AP67" s="31"/>
      <c r="AQ67" s="61"/>
    </row>
    <row r="68" ht="33.75" customHeight="1">
      <c r="A68" s="62"/>
      <c r="B68" s="51" t="str">
        <f>VLOOKUP(C68,[1]Saldo!A67:B31340,2,0)</f>
        <v>#ERROR!</v>
      </c>
      <c r="C68" s="88" t="s">
        <v>1127</v>
      </c>
      <c r="D68" s="88" t="str">
        <f t="shared" si="4"/>
        <v>#REF!</v>
      </c>
      <c r="E68" s="137">
        <v>5.0</v>
      </c>
      <c r="F68" s="88">
        <v>6000.0</v>
      </c>
      <c r="G68" s="128">
        <f>'PAINEL DE CONTROLE'!$J$8</f>
        <v>6545</v>
      </c>
      <c r="H68" s="128">
        <v>0.0</v>
      </c>
      <c r="I68" s="128">
        <f t="shared" si="1"/>
        <v>6000</v>
      </c>
      <c r="J68" s="128">
        <f t="shared" si="2"/>
        <v>-545</v>
      </c>
      <c r="K68" s="60"/>
      <c r="L68" s="31"/>
      <c r="M68" s="61"/>
      <c r="N68" s="60"/>
      <c r="O68" s="31"/>
      <c r="P68" s="61"/>
      <c r="Q68" s="60"/>
      <c r="R68" s="31"/>
      <c r="S68" s="61"/>
      <c r="T68" s="60"/>
      <c r="U68" s="31"/>
      <c r="V68" s="61"/>
      <c r="W68" s="60"/>
      <c r="X68" s="31"/>
      <c r="Y68" s="61"/>
      <c r="Z68" s="60"/>
      <c r="AA68" s="31"/>
      <c r="AB68" s="61"/>
      <c r="AC68" s="60"/>
      <c r="AD68" s="31"/>
      <c r="AE68" s="61"/>
      <c r="AF68" s="60"/>
      <c r="AG68" s="31"/>
      <c r="AH68" s="61"/>
      <c r="AI68" s="60"/>
      <c r="AJ68" s="31"/>
      <c r="AK68" s="61"/>
      <c r="AL68" s="60"/>
      <c r="AM68" s="31"/>
      <c r="AN68" s="61"/>
      <c r="AO68" s="60"/>
      <c r="AP68" s="31"/>
      <c r="AQ68" s="61"/>
    </row>
    <row r="69" ht="33.75" customHeight="1">
      <c r="A69" s="62"/>
      <c r="B69" s="51" t="str">
        <f>VLOOKUP(C69,[1]Saldo!A68:B31341,2,0)</f>
        <v>#ERROR!</v>
      </c>
      <c r="C69" s="88" t="s">
        <v>1128</v>
      </c>
      <c r="D69" s="88" t="str">
        <f t="shared" si="4"/>
        <v>#REF!</v>
      </c>
      <c r="E69" s="137">
        <v>5.0</v>
      </c>
      <c r="F69" s="88">
        <v>6000.0</v>
      </c>
      <c r="G69" s="128">
        <f>'PAINEL DE CONTROLE'!$J$8</f>
        <v>6545</v>
      </c>
      <c r="H69" s="128">
        <v>0.0</v>
      </c>
      <c r="I69" s="128">
        <f t="shared" si="1"/>
        <v>6000</v>
      </c>
      <c r="J69" s="128">
        <f t="shared" si="2"/>
        <v>-545</v>
      </c>
      <c r="K69" s="60"/>
      <c r="L69" s="31"/>
      <c r="M69" s="61"/>
      <c r="N69" s="60"/>
      <c r="O69" s="31"/>
      <c r="P69" s="61"/>
      <c r="Q69" s="60"/>
      <c r="R69" s="31"/>
      <c r="S69" s="61"/>
      <c r="T69" s="60"/>
      <c r="U69" s="31"/>
      <c r="V69" s="61"/>
      <c r="W69" s="60"/>
      <c r="X69" s="31"/>
      <c r="Y69" s="61"/>
      <c r="Z69" s="60"/>
      <c r="AA69" s="31"/>
      <c r="AB69" s="61"/>
      <c r="AC69" s="60"/>
      <c r="AD69" s="31"/>
      <c r="AE69" s="61"/>
      <c r="AF69" s="60"/>
      <c r="AG69" s="31"/>
      <c r="AH69" s="61"/>
      <c r="AI69" s="60"/>
      <c r="AJ69" s="31"/>
      <c r="AK69" s="61"/>
      <c r="AL69" s="60"/>
      <c r="AM69" s="31"/>
      <c r="AN69" s="61"/>
      <c r="AO69" s="60"/>
      <c r="AP69" s="31"/>
      <c r="AQ69" s="61"/>
    </row>
    <row r="70" ht="33.75" customHeight="1">
      <c r="A70" s="62"/>
      <c r="B70" s="51" t="str">
        <f>VLOOKUP(C70,[1]Saldo!A69:B31342,2,0)</f>
        <v>#ERROR!</v>
      </c>
      <c r="C70" s="88" t="s">
        <v>1129</v>
      </c>
      <c r="D70" s="88" t="str">
        <f t="shared" si="4"/>
        <v>#REF!</v>
      </c>
      <c r="E70" s="137">
        <v>7.0</v>
      </c>
      <c r="F70" s="88">
        <v>6000.0</v>
      </c>
      <c r="G70" s="128">
        <f>'PAINEL DE CONTROLE'!$J$8</f>
        <v>6545</v>
      </c>
      <c r="H70" s="128">
        <v>0.0</v>
      </c>
      <c r="I70" s="128">
        <f t="shared" si="1"/>
        <v>6000</v>
      </c>
      <c r="J70" s="128">
        <f t="shared" si="2"/>
        <v>-545</v>
      </c>
      <c r="K70" s="60"/>
      <c r="L70" s="31"/>
      <c r="M70" s="61"/>
      <c r="N70" s="60"/>
      <c r="O70" s="31"/>
      <c r="P70" s="61"/>
      <c r="Q70" s="60"/>
      <c r="R70" s="31"/>
      <c r="S70" s="61"/>
      <c r="T70" s="60"/>
      <c r="U70" s="31"/>
      <c r="V70" s="61"/>
      <c r="W70" s="60"/>
      <c r="X70" s="31"/>
      <c r="Y70" s="61"/>
      <c r="Z70" s="60"/>
      <c r="AA70" s="31"/>
      <c r="AB70" s="61"/>
      <c r="AC70" s="60"/>
      <c r="AD70" s="31"/>
      <c r="AE70" s="61"/>
      <c r="AF70" s="60"/>
      <c r="AG70" s="31"/>
      <c r="AH70" s="61"/>
      <c r="AI70" s="60"/>
      <c r="AJ70" s="31"/>
      <c r="AK70" s="61"/>
      <c r="AL70" s="60"/>
      <c r="AM70" s="31"/>
      <c r="AN70" s="61"/>
      <c r="AO70" s="60"/>
      <c r="AP70" s="31"/>
      <c r="AQ70" s="61"/>
    </row>
    <row r="71" ht="33.75" customHeight="1">
      <c r="A71" s="63"/>
      <c r="B71" s="51" t="str">
        <f>VLOOKUP(C71,[1]Saldo!A70:B31343,2,0)</f>
        <v>#ERROR!</v>
      </c>
      <c r="C71" s="88" t="s">
        <v>1130</v>
      </c>
      <c r="D71" s="88" t="str">
        <f t="shared" si="4"/>
        <v>#REF!</v>
      </c>
      <c r="E71" s="137">
        <v>7.0</v>
      </c>
      <c r="F71" s="88">
        <v>6000.0</v>
      </c>
      <c r="G71" s="128">
        <f>'PAINEL DE CONTROLE'!$J$8</f>
        <v>6545</v>
      </c>
      <c r="H71" s="128">
        <v>0.0</v>
      </c>
      <c r="I71" s="128">
        <f t="shared" si="1"/>
        <v>6000</v>
      </c>
      <c r="J71" s="128">
        <f t="shared" si="2"/>
        <v>-545</v>
      </c>
      <c r="K71" s="107"/>
      <c r="L71" s="108"/>
      <c r="M71" s="109"/>
      <c r="N71" s="107"/>
      <c r="O71" s="108"/>
      <c r="P71" s="109"/>
      <c r="Q71" s="107"/>
      <c r="R71" s="108"/>
      <c r="S71" s="109"/>
      <c r="T71" s="107"/>
      <c r="U71" s="108"/>
      <c r="V71" s="109"/>
      <c r="W71" s="107"/>
      <c r="X71" s="108"/>
      <c r="Y71" s="109"/>
      <c r="Z71" s="107"/>
      <c r="AA71" s="108"/>
      <c r="AB71" s="109"/>
      <c r="AC71" s="107"/>
      <c r="AD71" s="108"/>
      <c r="AE71" s="109"/>
      <c r="AF71" s="107"/>
      <c r="AG71" s="108"/>
      <c r="AH71" s="109"/>
      <c r="AI71" s="107"/>
      <c r="AJ71" s="108"/>
      <c r="AK71" s="109"/>
      <c r="AL71" s="107"/>
      <c r="AM71" s="108"/>
      <c r="AN71" s="109"/>
      <c r="AO71" s="107"/>
      <c r="AP71" s="108"/>
      <c r="AQ71" s="10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1:A53"/>
    <mergeCell ref="A54:A55"/>
    <mergeCell ref="A57:A58"/>
    <mergeCell ref="A59:A63"/>
    <mergeCell ref="A65:A71"/>
    <mergeCell ref="A1:J1"/>
    <mergeCell ref="A3:A9"/>
    <mergeCell ref="A10:A12"/>
    <mergeCell ref="A13:A15"/>
    <mergeCell ref="A16:A22"/>
    <mergeCell ref="A24:A33"/>
    <mergeCell ref="A34:A49"/>
  </mergeCells>
  <conditionalFormatting sqref="J2">
    <cfRule type="cellIs" dxfId="7" priority="1" operator="lessThan">
      <formula>500</formula>
    </cfRule>
  </conditionalFormatting>
  <conditionalFormatting sqref="J3:J71">
    <cfRule type="cellIs" dxfId="8" priority="2" operator="between">
      <formula>48</formula>
      <formula>960</formula>
    </cfRule>
  </conditionalFormatting>
  <printOptions/>
  <pageMargins bottom="0.787401575" footer="0.0" header="0.0" left="0.511811024" right="0.511811024" top="0.787401575"/>
  <pageSetup orientation="landscape"/>
  <drawing r:id="rId2"/>
  <legacyDrawing r:id="rId3"/>
</worksheet>
</file>